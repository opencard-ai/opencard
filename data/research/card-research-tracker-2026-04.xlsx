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所有卡片清單" sheetId="1" state="visible" r:id="rId3"/>
    <sheet name="Issuer 涵蓋率摘要" sheetId="2" state="visible" r:id="rId4"/>
    <sheet name="研究批次計劃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<sst xmlns="http://schemas.openxmlformats.org/spreadsheetml/2006/main" count="1422" uniqueCount="591">
  <si>
    <r>
      <rPr>
        <b val="true"/>
        <sz val="14"/>
        <color rgb="FFFFFFFF"/>
        <rFont val="DejaVu Sans"/>
        <family val="2"/>
      </rPr>
      <t xml:space="preserve">美國信用卡資料庫追蹤表 — 共 </t>
    </r>
    <r>
      <rPr>
        <b val="true"/>
        <sz val="14"/>
        <color rgb="FFFFFFFF"/>
        <rFont val="Arial"/>
        <family val="0"/>
        <charset val="1"/>
      </rPr>
      <t xml:space="preserve">248 </t>
    </r>
    <r>
      <rPr>
        <b val="true"/>
        <sz val="14"/>
        <color rgb="FFFFFFFF"/>
        <rFont val="DejaVu Sans"/>
        <family val="2"/>
      </rPr>
      <t xml:space="preserve">張卡片（</t>
    </r>
    <r>
      <rPr>
        <b val="true"/>
        <sz val="14"/>
        <color rgb="FFFFFFFF"/>
        <rFont val="Arial"/>
        <family val="0"/>
        <charset val="1"/>
      </rPr>
      <t xml:space="preserve">2026 </t>
    </r>
    <r>
      <rPr>
        <b val="true"/>
        <sz val="14"/>
        <color rgb="FFFFFFFF"/>
        <rFont val="DejaVu Sans"/>
        <family val="2"/>
      </rPr>
      <t xml:space="preserve">年 </t>
    </r>
    <r>
      <rPr>
        <b val="true"/>
        <sz val="14"/>
        <color rgb="FFFFFFFF"/>
        <rFont val="Arial"/>
        <family val="0"/>
        <charset val="1"/>
      </rPr>
      <t xml:space="preserve">4 </t>
    </r>
    <r>
      <rPr>
        <b val="true"/>
        <sz val="14"/>
        <color rgb="FFFFFFFF"/>
        <rFont val="DejaVu Sans"/>
        <family val="2"/>
      </rPr>
      <t xml:space="preserve">月）</t>
    </r>
  </si>
  <si>
    <t xml:space="preserve">#</t>
  </si>
  <si>
    <t xml:space="preserve">Card ID</t>
  </si>
  <si>
    <t xml:space="preserve">卡片名稱</t>
  </si>
  <si>
    <t xml:space="preserve">Issuer</t>
  </si>
  <si>
    <r>
      <rPr>
        <b val="true"/>
        <sz val="11"/>
        <color rgb="FFFFFFFF"/>
        <rFont val="DejaVu Sans"/>
        <family val="2"/>
      </rPr>
      <t xml:space="preserve">年費 </t>
    </r>
    <r>
      <rPr>
        <b val="true"/>
        <sz val="11"/>
        <color rgb="FFFFFFFF"/>
        <rFont val="Arial"/>
        <family val="0"/>
        <charset val="1"/>
      </rPr>
      <t xml:space="preserve">($)</t>
    </r>
  </si>
  <si>
    <t xml:space="preserve">優先級</t>
  </si>
  <si>
    <t xml:space="preserve">研究狀態</t>
  </si>
  <si>
    <t xml:space="preserve">資料來源確認</t>
  </si>
  <si>
    <t xml:space="preserve">最後更新</t>
  </si>
  <si>
    <t xml:space="preserve">備注</t>
  </si>
  <si>
    <t xml:space="preserve">amex-amazon-business</t>
  </si>
  <si>
    <t xml:space="preserve">Amazon Business American Express Card</t>
  </si>
  <si>
    <t xml:space="preserve">American Express</t>
  </si>
  <si>
    <r>
      <rPr>
        <b val="true"/>
        <sz val="9"/>
        <color rgb="FF000000"/>
        <rFont val="Arial"/>
        <family val="0"/>
        <charset val="1"/>
      </rPr>
      <t xml:space="preserve">P0 - </t>
    </r>
    <r>
      <rPr>
        <b val="true"/>
        <sz val="9"/>
        <color rgb="FF000000"/>
        <rFont val="DejaVu Sans"/>
        <family val="2"/>
      </rPr>
      <t xml:space="preserve">立即</t>
    </r>
  </si>
  <si>
    <t xml:space="preserve">⬜ 待研究</t>
  </si>
  <si>
    <t xml:space="preserve">amex-amazon-business-prime</t>
  </si>
  <si>
    <t xml:space="preserve">Amazon Business Prime American Express Card</t>
  </si>
  <si>
    <t xml:space="preserve">amex-blue-business-cash</t>
  </si>
  <si>
    <t xml:space="preserve">American Express Blue Business Cash™ Card</t>
  </si>
  <si>
    <t xml:space="preserve">amex-blue-business-plus</t>
  </si>
  <si>
    <t xml:space="preserve">American Express Blue Business Plus Credit Card</t>
  </si>
  <si>
    <t xml:space="preserve">amex-business-gold</t>
  </si>
  <si>
    <t xml:space="preserve">American Express® Business Gold Card</t>
  </si>
  <si>
    <t xml:space="preserve">amex-gold</t>
  </si>
  <si>
    <t xml:space="preserve">American Express® Gold Card</t>
  </si>
  <si>
    <t xml:space="preserve">amex-green</t>
  </si>
  <si>
    <t xml:space="preserve">American Express® Green Card</t>
  </si>
  <si>
    <t xml:space="preserve">amex-everyday</t>
  </si>
  <si>
    <t xml:space="preserve">Amex EveryDay® Credit Card</t>
  </si>
  <si>
    <t xml:space="preserve">amex-everyday-preferred</t>
  </si>
  <si>
    <t xml:space="preserve">Amex EveryDay® Preferred Credit Card</t>
  </si>
  <si>
    <t xml:space="preserve">amex-blue-cash-everyday</t>
  </si>
  <si>
    <t xml:space="preserve">Blue Cash Everyday® Card from American Express</t>
  </si>
  <si>
    <t xml:space="preserve">amex-blue-cash-preferred</t>
  </si>
  <si>
    <t xml:space="preserve">Blue Cash Preferred® Card from American Express</t>
  </si>
  <si>
    <t xml:space="preserve">amex-blue-from-american-express</t>
  </si>
  <si>
    <t xml:space="preserve">Blue from American Express®</t>
  </si>
  <si>
    <t xml:space="preserve">amex-cash-magnet</t>
  </si>
  <si>
    <t xml:space="preserve">Cash Magnet® Card</t>
  </si>
  <si>
    <t xml:space="preserve">delta-skymiles-blue-amex</t>
  </si>
  <si>
    <t xml:space="preserve">Delta SkyMiles® Blue American Express Card</t>
  </si>
  <si>
    <t xml:space="preserve">delta-skymiles-gold-amex</t>
  </si>
  <si>
    <t xml:space="preserve">Delta SkyMiles® Gold American Express Card</t>
  </si>
  <si>
    <t xml:space="preserve">delta-skymiles-gold-business-amex</t>
  </si>
  <si>
    <t xml:space="preserve">Delta SkyMiles® Gold Business American Express Card</t>
  </si>
  <si>
    <t xml:space="preserve">delta-skymiles-platinum-amex</t>
  </si>
  <si>
    <t xml:space="preserve">Delta SkyMiles® Platinum American Express Card</t>
  </si>
  <si>
    <t xml:space="preserve">delta-skymiles-platinum-business-amex</t>
  </si>
  <si>
    <t xml:space="preserve">Delta SkyMiles® Platinum Business American Express Card</t>
  </si>
  <si>
    <t xml:space="preserve">delta-skymiles-reserve-amex</t>
  </si>
  <si>
    <t xml:space="preserve">Delta SkyMiles® Reserve American Express Card</t>
  </si>
  <si>
    <t xml:space="preserve">delta-skymiles-reserve-business-amex</t>
  </si>
  <si>
    <t xml:space="preserve">Delta SkyMiles® Reserve Business American Express Card</t>
  </si>
  <si>
    <t xml:space="preserve">hilton-honors-amex-aspire</t>
  </si>
  <si>
    <t xml:space="preserve">Hilton Honors American Express Aspire Card</t>
  </si>
  <si>
    <t xml:space="preserve">hilton-honors-amex-business</t>
  </si>
  <si>
    <t xml:space="preserve">Hilton Honors American Express Business Card</t>
  </si>
  <si>
    <t xml:space="preserve">hilton-honors-amex</t>
  </si>
  <si>
    <t xml:space="preserve">Hilton Honors American Express Card</t>
  </si>
  <si>
    <t xml:space="preserve">hilton-honors-amex-surpass</t>
  </si>
  <si>
    <t xml:space="preserve">Hilton Honors American Express Surpass® Card</t>
  </si>
  <si>
    <t xml:space="preserve">marriott-bonvoy-bevy-amex</t>
  </si>
  <si>
    <t xml:space="preserve">Marriott Bonvoy Bevy® American Express® Card</t>
  </si>
  <si>
    <t xml:space="preserve">marriott-bonvoy-brilliant-amex</t>
  </si>
  <si>
    <t xml:space="preserve">Marriott Bonvoy Brilliant® American Express® Card</t>
  </si>
  <si>
    <t xml:space="preserve">marriott-bonvoy-business-amex</t>
  </si>
  <si>
    <t xml:space="preserve">Marriott Bonvoy Business® American Express® Card</t>
  </si>
  <si>
    <t xml:space="preserve">amex-business-platinum</t>
  </si>
  <si>
    <t xml:space="preserve">The Business Platinum Card® from American Express</t>
  </si>
  <si>
    <t xml:space="preserve">centurion-card-amex</t>
  </si>
  <si>
    <t xml:space="preserve">The Centurion® Card from American Express</t>
  </si>
  <si>
    <t xml:space="preserve">amex-platinum</t>
  </si>
  <si>
    <t xml:space="preserve">The Platinum Card® from American Express</t>
  </si>
  <si>
    <t xml:space="preserve">amex-plum-card</t>
  </si>
  <si>
    <t xml:space="preserve">The Plum Card® from American Express</t>
  </si>
  <si>
    <t xml:space="preserve">avianca-vida-visa</t>
  </si>
  <si>
    <t xml:space="preserve">Avianca LifeMiles Visa Card</t>
  </si>
  <si>
    <t xml:space="preserve">Avianca / Barclays</t>
  </si>
  <si>
    <r>
      <rPr>
        <b val="true"/>
        <sz val="9"/>
        <color rgb="FF000000"/>
        <rFont val="Arial"/>
        <family val="0"/>
        <charset val="1"/>
      </rPr>
      <t xml:space="preserve">P4 - </t>
    </r>
    <r>
      <rPr>
        <b val="true"/>
        <sz val="9"/>
        <color rgb="FF000000"/>
        <rFont val="DejaVu Sans"/>
        <family val="2"/>
      </rPr>
      <t xml:space="preserve">視情況</t>
    </r>
  </si>
  <si>
    <t xml:space="preserve">chime-credit-builder-visa</t>
  </si>
  <si>
    <t xml:space="preserve">Chime Credit Builder Secured Visa® Credit Card</t>
  </si>
  <si>
    <t xml:space="preserve">Bancorp Bank / Stride Bank</t>
  </si>
  <si>
    <t xml:space="preserve">alaska-airlines-visa-signature-boa</t>
  </si>
  <si>
    <t xml:space="preserve">Alaska Airlines Visa Signature® Credit Card</t>
  </si>
  <si>
    <t xml:space="preserve">Bank of America</t>
  </si>
  <si>
    <r>
      <rPr>
        <b val="true"/>
        <sz val="9"/>
        <color rgb="FF000000"/>
        <rFont val="Arial"/>
        <family val="0"/>
        <charset val="1"/>
      </rPr>
      <t xml:space="preserve">P1 - </t>
    </r>
    <r>
      <rPr>
        <b val="true"/>
        <sz val="9"/>
        <color rgb="FF000000"/>
        <rFont val="DejaVu Sans"/>
        <family val="2"/>
      </rPr>
      <t xml:space="preserve">高</t>
    </r>
  </si>
  <si>
    <t xml:space="preserve">alaska-airlines-visa-business-boa</t>
  </si>
  <si>
    <t xml:space="preserve">Alaska Airlines Visa® Business Credit Card</t>
  </si>
  <si>
    <t xml:space="preserve">boa-alaska-business-visa</t>
  </si>
  <si>
    <t xml:space="preserve">alaska-airlines-visa-platinum-boa</t>
  </si>
  <si>
    <t xml:space="preserve">Alaska Airlines Visa® Platinum Plus® Credit Card</t>
  </si>
  <si>
    <t xml:space="preserve">boa-business-advantage-customized-cash</t>
  </si>
  <si>
    <t xml:space="preserve">Bank of America® Business Advantage Customized Cash Rewards Mastercard®</t>
  </si>
  <si>
    <t xml:space="preserve">boa-business-advantage-travel</t>
  </si>
  <si>
    <t xml:space="preserve">Bank of America® Business Advantage Travel Rewards World Mastercard®</t>
  </si>
  <si>
    <t xml:space="preserve">boa-business-advantage-unlimited-cash</t>
  </si>
  <si>
    <t xml:space="preserve">Bank of America® Business Advantage Unlimited Cash Rewards Mastercard®</t>
  </si>
  <si>
    <t xml:space="preserve">boa-customized-cash-rewards</t>
  </si>
  <si>
    <t xml:space="preserve">Bank of America® Customized Cash Rewards Credit Card</t>
  </si>
  <si>
    <t xml:space="preserve">boa-student-customized-cash-rewards</t>
  </si>
  <si>
    <t xml:space="preserve">Bank of America® Customized Cash Rewards Credit Card for Students</t>
  </si>
  <si>
    <t xml:space="preserve">boa-customized-cash-rewards-secured</t>
  </si>
  <si>
    <t xml:space="preserve">Bank of America® Customized Cash Rewards Secured Credit Card</t>
  </si>
  <si>
    <t xml:space="preserve">boa-premium-rewards</t>
  </si>
  <si>
    <t xml:space="preserve">Bank of America® Premium Rewards® Credit Card</t>
  </si>
  <si>
    <t xml:space="preserve">boa-premium-rewards-elite</t>
  </si>
  <si>
    <t xml:space="preserve">Bank of America® Premium Rewards® Elite Credit Card</t>
  </si>
  <si>
    <t xml:space="preserve">boa-travel-rewards</t>
  </si>
  <si>
    <t xml:space="preserve">Bank of America® Travel Rewards Credit Card</t>
  </si>
  <si>
    <t xml:space="preserve">boa-student-travel-rewards</t>
  </si>
  <si>
    <t xml:space="preserve">Bank of America® Travel Rewards Credit Card for Students</t>
  </si>
  <si>
    <t xml:space="preserve">boa-unlimited-cash-rewards</t>
  </si>
  <si>
    <t xml:space="preserve">Bank of America® Unlimited Cash Rewards Credit Card</t>
  </si>
  <si>
    <t xml:space="preserve">spirit-airlines-mastercard</t>
  </si>
  <si>
    <t xml:space="preserve">Free Spirit® Travel More World Elite Mastercard®</t>
  </si>
  <si>
    <t xml:space="preserve">aarp-essential-rewards-mastercard-barclays</t>
  </si>
  <si>
    <t xml:space="preserve">AARP® Essential Rewards Mastercard® from Barclays</t>
  </si>
  <si>
    <t xml:space="preserve">Barclays</t>
  </si>
  <si>
    <r>
      <rPr>
        <b val="true"/>
        <sz val="9"/>
        <color rgb="FF000000"/>
        <rFont val="Arial"/>
        <family val="0"/>
        <charset val="1"/>
      </rPr>
      <t xml:space="preserve">P2 - </t>
    </r>
    <r>
      <rPr>
        <b val="true"/>
        <sz val="9"/>
        <color rgb="FF000000"/>
        <rFont val="DejaVu Sans"/>
        <family val="2"/>
      </rPr>
      <t xml:space="preserve">中</t>
    </r>
  </si>
  <si>
    <t xml:space="preserve">aarp-travel-rewards-mastercard-barclays</t>
  </si>
  <si>
    <t xml:space="preserve">AARP® Travel Rewards Mastercard® from Barclays</t>
  </si>
  <si>
    <t xml:space="preserve">athleta-rewards-mastercard-barclays</t>
  </si>
  <si>
    <t xml:space="preserve">Athleta Rewards Mastercard®</t>
  </si>
  <si>
    <t xml:space="preserve">banana-republic-rewards-mastercard-barclays</t>
  </si>
  <si>
    <t xml:space="preserve">Banana Republic Rewards Mastercard®</t>
  </si>
  <si>
    <t xml:space="preserve">carnival-world-mastercard-barclays</t>
  </si>
  <si>
    <t xml:space="preserve">Carnival® World Mastercard®</t>
  </si>
  <si>
    <t xml:space="preserve">celebrity-cruises-visa-signature-barclays</t>
  </si>
  <si>
    <t xml:space="preserve">Celebrity Cruises Visa Signature® Card</t>
  </si>
  <si>
    <t xml:space="preserve">emirates-skywards-mastercard</t>
  </si>
  <si>
    <t xml:space="preserve">Emirates Skywards Premium World Elite Mastercard®</t>
  </si>
  <si>
    <t xml:space="preserve">frontier-airlines-world-mastercard-barclays</t>
  </si>
  <si>
    <t xml:space="preserve">Frontier Airlines World Mastercard®</t>
  </si>
  <si>
    <t xml:space="preserve">gap-good-rewards-mastercard-barclays</t>
  </si>
  <si>
    <t xml:space="preserve">Gap Good Rewards Mastercard®</t>
  </si>
  <si>
    <t xml:space="preserve">hawaiian-airlines-world-elite-mastercard</t>
  </si>
  <si>
    <t xml:space="preserve">Hawaiian Airlines World Elite Mastercard®</t>
  </si>
  <si>
    <t xml:space="preserve">jetblue-business-card-barclays</t>
  </si>
  <si>
    <t xml:space="preserve">JetBlue Business Card</t>
  </si>
  <si>
    <t xml:space="preserve">jetblue-card-barclays</t>
  </si>
  <si>
    <t xml:space="preserve">JetBlue Card</t>
  </si>
  <si>
    <t xml:space="preserve">jetblue-plus-card-barclays</t>
  </si>
  <si>
    <t xml:space="preserve">JetBlue Plus Card</t>
  </si>
  <si>
    <t xml:space="preserve">luxury-card-black</t>
  </si>
  <si>
    <t xml:space="preserve">Luxury Card Mastercard® Black Card™</t>
  </si>
  <si>
    <t xml:space="preserve">luxury-card-gold</t>
  </si>
  <si>
    <t xml:space="preserve">Luxury Card Mastercard® Gold Card™</t>
  </si>
  <si>
    <t xml:space="preserve">luxury-card-titanium</t>
  </si>
  <si>
    <t xml:space="preserve">Luxury Card Mastercard® Titanium Card™</t>
  </si>
  <si>
    <t xml:space="preserve">old-navy-navyist-rewards-mastercard-barclays</t>
  </si>
  <si>
    <t xml:space="preserve">Old Navy Navyist Rewards Mastercard®</t>
  </si>
  <si>
    <t xml:space="preserve">royal-caribbean-visa-signature-barclays</t>
  </si>
  <si>
    <t xml:space="preserve">Royal Caribbean Visa Signature® Card</t>
  </si>
  <si>
    <t xml:space="preserve">wyndham-rewards-earner-business-barclays</t>
  </si>
  <si>
    <t xml:space="preserve">Wyndham Rewards Earner® Business Card</t>
  </si>
  <si>
    <t xml:space="preserve">wyndham-rewards-earner-barclays</t>
  </si>
  <si>
    <t xml:space="preserve">Wyndham Rewards Earner® Card</t>
  </si>
  <si>
    <t xml:space="preserve">wyndham-rewards-earner-plus-barclays</t>
  </si>
  <si>
    <t xml:space="preserve">Wyndham Rewards Earner® Plus Card</t>
  </si>
  <si>
    <t xml:space="preserve">bilt-blue-card</t>
  </si>
  <si>
    <t xml:space="preserve">Bilt Blue Card</t>
  </si>
  <si>
    <t xml:space="preserve">Bilt Rewards / Cardless</t>
  </si>
  <si>
    <t xml:space="preserve">bilt-obsidian-card</t>
  </si>
  <si>
    <t xml:space="preserve">Bilt Obsidian Card</t>
  </si>
  <si>
    <t xml:space="preserve">bilt-palladium-card</t>
  </si>
  <si>
    <t xml:space="preserve">Bilt Palladium Card</t>
  </si>
  <si>
    <t xml:space="preserve">bread-cashback-american-express</t>
  </si>
  <si>
    <t xml:space="preserve">Bread Cashback™ American Express® Credit Card</t>
  </si>
  <si>
    <t xml:space="preserve">Bread Financial</t>
  </si>
  <si>
    <t xml:space="preserve">kayak-credit-card-comenity</t>
  </si>
  <si>
    <t xml:space="preserve">KAYAK Credit Card</t>
  </si>
  <si>
    <t xml:space="preserve">pottery-barn-visa</t>
  </si>
  <si>
    <t xml:space="preserve">Pottery Barn Visa® Credit Card</t>
  </si>
  <si>
    <t xml:space="preserve">ulta-beauty-mastercard-comenity</t>
  </si>
  <si>
    <t xml:space="preserve">Ulta Beauty Mastercard®</t>
  </si>
  <si>
    <t xml:space="preserve">victoria-secret-credit-card-comenity</t>
  </si>
  <si>
    <t xml:space="preserve">Victoria's Secret Credit Card</t>
  </si>
  <si>
    <t xml:space="preserve">bed-bath-beyond-mastercard-comenity</t>
  </si>
  <si>
    <t xml:space="preserve">Wayfair Mastercard®</t>
  </si>
  <si>
    <t xml:space="preserve">west-elm-visa</t>
  </si>
  <si>
    <t xml:space="preserve">West Elm Key Rewards Visa® Credit Card</t>
  </si>
  <si>
    <t xml:space="preserve">williams-sonoma-visa</t>
  </si>
  <si>
    <t xml:space="preserve">Williams Sonoma Visa® Credit Card</t>
  </si>
  <si>
    <t xml:space="preserve">opensky-plus-secured-visa</t>
  </si>
  <si>
    <t xml:space="preserve">OpenSky® Plus Secured Visa® Credit Card</t>
  </si>
  <si>
    <t xml:space="preserve">Capital Bank</t>
  </si>
  <si>
    <t xml:space="preserve">opensky-secured-visa</t>
  </si>
  <si>
    <t xml:space="preserve">OpenSky® Secured Visa® Credit Card</t>
  </si>
  <si>
    <t xml:space="preserve">capital-one-journey-student</t>
  </si>
  <si>
    <t xml:space="preserve">Capital One Journey Student Credit Card</t>
  </si>
  <si>
    <t xml:space="preserve">Capital One</t>
  </si>
  <si>
    <t xml:space="preserve">capital-one-platinum</t>
  </si>
  <si>
    <t xml:space="preserve">Capital One Platinum Credit Card</t>
  </si>
  <si>
    <t xml:space="preserve">capital-one-platinum-secured</t>
  </si>
  <si>
    <t xml:space="preserve">Capital One Platinum Secured Credit Card</t>
  </si>
  <si>
    <t xml:space="preserve">capital-one-quicksilver</t>
  </si>
  <si>
    <t xml:space="preserve">Capital One Quicksilver Cash Rewards Credit Card</t>
  </si>
  <si>
    <t xml:space="preserve">capital-one-quicksilver-secured</t>
  </si>
  <si>
    <t xml:space="preserve">Capital One Quicksilver Secured Cash Rewards Credit Card</t>
  </si>
  <si>
    <t xml:space="preserve">capital-one-quicksilver-one</t>
  </si>
  <si>
    <t xml:space="preserve">Capital One QuicksilverOne Cash Rewards Credit Card</t>
  </si>
  <si>
    <t xml:space="preserve">capital-one-savor</t>
  </si>
  <si>
    <t xml:space="preserve">Capital One Savor Cash Rewards Credit Card</t>
  </si>
  <si>
    <t xml:space="preserve">capital-one-savor-one</t>
  </si>
  <si>
    <t xml:space="preserve">Capital One SavorOne Cash Rewards Credit Card</t>
  </si>
  <si>
    <t xml:space="preserve">capital-one-spark-cash-plus</t>
  </si>
  <si>
    <t xml:space="preserve">Capital One Spark Cash Plus</t>
  </si>
  <si>
    <t xml:space="preserve">capital-one-spark-cash-select</t>
  </si>
  <si>
    <t xml:space="preserve">Capital One Spark Cash Select for Excellent Credit</t>
  </si>
  <si>
    <t xml:space="preserve">capital-one-spark-miles-for-business</t>
  </si>
  <si>
    <t xml:space="preserve">Capital One Spark Miles for Business</t>
  </si>
  <si>
    <t xml:space="preserve">capital-one-spark-miles-select</t>
  </si>
  <si>
    <t xml:space="preserve">Capital One Spark Miles Select for Business</t>
  </si>
  <si>
    <t xml:space="preserve">capital-one-venture</t>
  </si>
  <si>
    <t xml:space="preserve">Capital One Venture Rewards Credit Card</t>
  </si>
  <si>
    <t xml:space="preserve">capital-one-venture-x-business</t>
  </si>
  <si>
    <t xml:space="preserve">Capital One Venture X Business</t>
  </si>
  <si>
    <t xml:space="preserve">capital-one-venture-x</t>
  </si>
  <si>
    <t xml:space="preserve">Capital One Venture X Rewards Credit Card</t>
  </si>
  <si>
    <t xml:space="preserve">capital-one-venture-one</t>
  </si>
  <si>
    <t xml:space="preserve">Capital One VentureOne Rewards Credit Card</t>
  </si>
  <si>
    <t xml:space="preserve">capital-one-walmart-rewards</t>
  </si>
  <si>
    <t xml:space="preserve">Capital One Walmart Rewards® Mastercard®</t>
  </si>
  <si>
    <t xml:space="preserve">kohls-charge-card</t>
  </si>
  <si>
    <t xml:space="preserve">Kohl's Charge Card</t>
  </si>
  <si>
    <t xml:space="preserve">aer-lingus-visa-signature</t>
  </si>
  <si>
    <t xml:space="preserve">Aer Lingus Visa Signature® Card</t>
  </si>
  <si>
    <t xml:space="preserve">Chase</t>
  </si>
  <si>
    <t xml:space="preserve">amazon-business-prime-visa</t>
  </si>
  <si>
    <t xml:space="preserve">amazon-prime-visa</t>
  </si>
  <si>
    <t xml:space="preserve">Amazon Prime Visa</t>
  </si>
  <si>
    <t xml:space="preserve">amazon-visa</t>
  </si>
  <si>
    <t xml:space="preserve">Amazon Visa</t>
  </si>
  <si>
    <t xml:space="preserve">british-airways-visa-signature</t>
  </si>
  <si>
    <t xml:space="preserve">British Airways Visa Signature® Card</t>
  </si>
  <si>
    <t xml:space="preserve">chase-freedom-flex</t>
  </si>
  <si>
    <t xml:space="preserve">Chase Freedom Flex®</t>
  </si>
  <si>
    <t xml:space="preserve">chase-freedom-rise</t>
  </si>
  <si>
    <t xml:space="preserve">Chase Freedom Rise℠</t>
  </si>
  <si>
    <t xml:space="preserve">chase-freedom-unlimited</t>
  </si>
  <si>
    <t xml:space="preserve">Chase Freedom Unlimited®</t>
  </si>
  <si>
    <t xml:space="preserve">chase-sapphire-preferred</t>
  </si>
  <si>
    <t xml:space="preserve">Chase Sapphire Preferred® Card</t>
  </si>
  <si>
    <t xml:space="preserve">chase-sapphire-reserve</t>
  </si>
  <si>
    <t xml:space="preserve">Chase Sapphire Reserve®</t>
  </si>
  <si>
    <t xml:space="preserve">chase-slate-edge</t>
  </si>
  <si>
    <t xml:space="preserve">Chase Slate Edge℠</t>
  </si>
  <si>
    <t xml:space="preserve">disney-premier-visa-card</t>
  </si>
  <si>
    <t xml:space="preserve">Disney® Premier Visa® Card</t>
  </si>
  <si>
    <t xml:space="preserve">disney-visa-card</t>
  </si>
  <si>
    <t xml:space="preserve">Disney® Visa® Card</t>
  </si>
  <si>
    <t xml:space="preserve">doordash-rewards-mastercard</t>
  </si>
  <si>
    <t xml:space="preserve">DoorDash Rewards Mastercard®</t>
  </si>
  <si>
    <t xml:space="preserve">iberia-visa-signature</t>
  </si>
  <si>
    <t xml:space="preserve">Iberia Visa Signature® Card</t>
  </si>
  <si>
    <t xml:space="preserve">ihg-one-rewards-premier-business</t>
  </si>
  <si>
    <t xml:space="preserve">IHG One Rewards Premier Business Credit Card</t>
  </si>
  <si>
    <t xml:space="preserve">ihg-one-rewards-premier</t>
  </si>
  <si>
    <t xml:space="preserve">IHG One Rewards Premier Credit Card</t>
  </si>
  <si>
    <t xml:space="preserve">ihg-one-rewards-traveler</t>
  </si>
  <si>
    <t xml:space="preserve">IHG One Rewards Traveler Credit Card</t>
  </si>
  <si>
    <t xml:space="preserve">ink-business-cash</t>
  </si>
  <si>
    <t xml:space="preserve">Ink Business Cash® Credit Card</t>
  </si>
  <si>
    <t xml:space="preserve">ink-business-preferred</t>
  </si>
  <si>
    <t xml:space="preserve">Ink Business Preferred® Credit Card</t>
  </si>
  <si>
    <t xml:space="preserve">ink-business-premier</t>
  </si>
  <si>
    <t xml:space="preserve">Ink Business Premier® Credit Card</t>
  </si>
  <si>
    <t xml:space="preserve">ink-business-unlimited</t>
  </si>
  <si>
    <t xml:space="preserve">Ink Business Unlimited® Credit Card</t>
  </si>
  <si>
    <t xml:space="preserve">jpmorgan-reserve-card</t>
  </si>
  <si>
    <t xml:space="preserve">J.P. Morgan Reserve Card</t>
  </si>
  <si>
    <t xml:space="preserve">marriott-bonvoy-bold</t>
  </si>
  <si>
    <t xml:space="preserve">Marriott Bonvoy Bold® Credit Card</t>
  </si>
  <si>
    <t xml:space="preserve">marriott-bonvoy-boundless</t>
  </si>
  <si>
    <t xml:space="preserve">Marriott Bonvoy Boundless® Credit Card</t>
  </si>
  <si>
    <t xml:space="preserve">marriott-bonvoy-bountiful</t>
  </si>
  <si>
    <t xml:space="preserve">Marriott Bonvoy Bountiful™ Credit Card</t>
  </si>
  <si>
    <t xml:space="preserve">chase-sapphire-reserve-for-business</t>
  </si>
  <si>
    <t xml:space="preserve">Sapphire Reserve℠ for Business</t>
  </si>
  <si>
    <t xml:space="preserve">southwest-rapid-rewards-performance-business</t>
  </si>
  <si>
    <t xml:space="preserve">Southwest Rapid Rewards® Performance Business Credit Card</t>
  </si>
  <si>
    <t xml:space="preserve">southwest-rapid-rewards-plus</t>
  </si>
  <si>
    <t xml:space="preserve">Southwest Rapid Rewards® Plus Credit Card</t>
  </si>
  <si>
    <t xml:space="preserve">southwest-rapid-rewards-premier-business</t>
  </si>
  <si>
    <t xml:space="preserve">Southwest Rapid Rewards® Premier Business Credit Card</t>
  </si>
  <si>
    <t xml:space="preserve">southwest-rapid-rewards-premier</t>
  </si>
  <si>
    <t xml:space="preserve">Southwest Rapid Rewards® Premier Credit Card</t>
  </si>
  <si>
    <t xml:space="preserve">southwest-rapid-rewards-priority</t>
  </si>
  <si>
    <t xml:space="preserve">Southwest Rapid Rewards® Priority Credit Card</t>
  </si>
  <si>
    <t xml:space="preserve">starbucks-rewards-visa-card</t>
  </si>
  <si>
    <t xml:space="preserve">Starbucks® Rewards Visa® Card</t>
  </si>
  <si>
    <t xml:space="preserve">united-club-business-card</t>
  </si>
  <si>
    <t xml:space="preserve">United Club℠ Business Card</t>
  </si>
  <si>
    <t xml:space="preserve">united-club-card</t>
  </si>
  <si>
    <t xml:space="preserve">United Club℠ Card</t>
  </si>
  <si>
    <t xml:space="preserve">united-club-infinite-card</t>
  </si>
  <si>
    <t xml:space="preserve">United Club℠ Infinite Card</t>
  </si>
  <si>
    <t xml:space="preserve">united-gateway-card</t>
  </si>
  <si>
    <t xml:space="preserve">United Gateway℠ Card</t>
  </si>
  <si>
    <t xml:space="preserve">united-quest-card</t>
  </si>
  <si>
    <t xml:space="preserve">United Quest℠ Card</t>
  </si>
  <si>
    <t xml:space="preserve">united-business-card</t>
  </si>
  <si>
    <t xml:space="preserve">United℠ Business Card</t>
  </si>
  <si>
    <t xml:space="preserve">united-explorer-card</t>
  </si>
  <si>
    <t xml:space="preserve">United℠ Explorer Card</t>
  </si>
  <si>
    <t xml:space="preserve">world-of-hyatt-business-card</t>
  </si>
  <si>
    <t xml:space="preserve">World of Hyatt Business Credit Card</t>
  </si>
  <si>
    <t xml:space="preserve">world-of-hyatt-credit-card</t>
  </si>
  <si>
    <t xml:space="preserve">World of Hyatt Credit Card</t>
  </si>
  <si>
    <t xml:space="preserve">citi-custom-cash</t>
  </si>
  <si>
    <t xml:space="preserve">Citi Custom Cash® Card</t>
  </si>
  <si>
    <t xml:space="preserve">Citi</t>
  </si>
  <si>
    <t xml:space="preserve">citi-double-cash</t>
  </si>
  <si>
    <t xml:space="preserve">Citi Double Cash® Card</t>
  </si>
  <si>
    <t xml:space="preserve">citi-rewards-plus</t>
  </si>
  <si>
    <t xml:space="preserve">Citi Rewards+® Card</t>
  </si>
  <si>
    <t xml:space="preserve">citi-simplicity</t>
  </si>
  <si>
    <t xml:space="preserve">Citi Simplicity® Card</t>
  </si>
  <si>
    <t xml:space="preserve">citi-strata-elite</t>
  </si>
  <si>
    <t xml:space="preserve">Citi Strata Elite℠ Card</t>
  </si>
  <si>
    <t xml:space="preserve">citi-strata-premier</t>
  </si>
  <si>
    <t xml:space="preserve">Citi Strata Premier® Card</t>
  </si>
  <si>
    <t xml:space="preserve">citi-strata</t>
  </si>
  <si>
    <t xml:space="preserve">Citi Strata℠ Card</t>
  </si>
  <si>
    <t xml:space="preserve">citi-aadvantage-executive</t>
  </si>
  <si>
    <t xml:space="preserve">Citi® / AAdvantage® Executive World Elite Mastercard®</t>
  </si>
  <si>
    <t xml:space="preserve">citi-aadvantage-globe</t>
  </si>
  <si>
    <t xml:space="preserve">Citi® / AAdvantage® Globe™ Mastercard®</t>
  </si>
  <si>
    <t xml:space="preserve">citi-aadvantage-mileup</t>
  </si>
  <si>
    <t xml:space="preserve">Citi® / AAdvantage® MileUp® Card</t>
  </si>
  <si>
    <t xml:space="preserve">american-airlines-citi-mastercard</t>
  </si>
  <si>
    <t xml:space="preserve">Citi® / AAdvantage® Platinum Select® Mastercard®</t>
  </si>
  <si>
    <t xml:space="preserve">citi-aadvantage-platinum-select</t>
  </si>
  <si>
    <t xml:space="preserve">Citi® / AAdvantage® Platinum Select® World Elite Mastercard®</t>
  </si>
  <si>
    <t xml:space="preserve">citi-diamond-preferred</t>
  </si>
  <si>
    <t xml:space="preserve">Citi® Diamond Preferred® Card</t>
  </si>
  <si>
    <t xml:space="preserve">citi-secured-mastercard</t>
  </si>
  <si>
    <t xml:space="preserve">Citi® Secured Mastercard®</t>
  </si>
  <si>
    <t xml:space="preserve">costco-anywhere-visa-business-citi</t>
  </si>
  <si>
    <t xml:space="preserve">Costco Anywhere Visa® Business Card by Citi</t>
  </si>
  <si>
    <t xml:space="preserve">costco-anywhere-visa-citi</t>
  </si>
  <si>
    <t xml:space="preserve">Costco Anywhere Visa® Card by Citi</t>
  </si>
  <si>
    <t xml:space="preserve">macy-american-express-card</t>
  </si>
  <si>
    <t xml:space="preserve">Macy's American Express® Card</t>
  </si>
  <si>
    <t xml:space="preserve">macys-credit-card</t>
  </si>
  <si>
    <t xml:space="preserve">Macy's Credit Card</t>
  </si>
  <si>
    <t xml:space="preserve">best-buy-credit-card</t>
  </si>
  <si>
    <t xml:space="preserve">My Best Buy® Credit Card</t>
  </si>
  <si>
    <t xml:space="preserve">best-buy-visa-credit-card</t>
  </si>
  <si>
    <t xml:space="preserve">My Best Buy® Visa® Card</t>
  </si>
  <si>
    <t xml:space="preserve">home-depot-consumer-credit-card</t>
  </si>
  <si>
    <t xml:space="preserve">The Home Depot® Consumer Credit Card</t>
  </si>
  <si>
    <t xml:space="preserve">home-depot-home-improver-card</t>
  </si>
  <si>
    <t xml:space="preserve">The Home Depot® Home Improver Card</t>
  </si>
  <si>
    <t xml:space="preserve">x1-card</t>
  </si>
  <si>
    <t xml:space="preserve">X1 Card</t>
  </si>
  <si>
    <t xml:space="preserve">Coastal Community Bank</t>
  </si>
  <si>
    <t xml:space="preserve">credit-one-platinum-visa</t>
  </si>
  <si>
    <t xml:space="preserve">Credit One Bank® Platinum Visa®</t>
  </si>
  <si>
    <t xml:space="preserve">Credit One Bank</t>
  </si>
  <si>
    <t xml:space="preserve">credit-one-platinum-visa-cb</t>
  </si>
  <si>
    <t xml:space="preserve">Credit One Bank® Platinum X5 Visa®</t>
  </si>
  <si>
    <t xml:space="preserve">deserve-edu-mastercard</t>
  </si>
  <si>
    <t xml:space="preserve">Deserve® EDU Mastercard for Students</t>
  </si>
  <si>
    <t xml:space="preserve">Deserve</t>
  </si>
  <si>
    <t xml:space="preserve">discover-it-cash-back</t>
  </si>
  <si>
    <t xml:space="preserve">Discover it® Cash Back</t>
  </si>
  <si>
    <t xml:space="preserve">Discover</t>
  </si>
  <si>
    <t xml:space="preserve">discover-it-chrome</t>
  </si>
  <si>
    <t xml:space="preserve">Discover it® Chrome</t>
  </si>
  <si>
    <t xml:space="preserve">discover-it-miles</t>
  </si>
  <si>
    <t xml:space="preserve">Discover it® Miles</t>
  </si>
  <si>
    <t xml:space="preserve">discover-it-secured</t>
  </si>
  <si>
    <t xml:space="preserve">Discover it® Secured Credit Card</t>
  </si>
  <si>
    <t xml:space="preserve">discover-it-student-cash-back</t>
  </si>
  <si>
    <t xml:space="preserve">Discover it® Student Cash Back</t>
  </si>
  <si>
    <t xml:space="preserve">discover-it-student-chrome</t>
  </si>
  <si>
    <t xml:space="preserve">Discover it® Student Chrome</t>
  </si>
  <si>
    <t xml:space="preserve">elan-max-cash-everyday</t>
  </si>
  <si>
    <t xml:space="preserve">Elan Max Cash Everyday Card</t>
  </si>
  <si>
    <t xml:space="preserve">Elan Financial</t>
  </si>
  <si>
    <t xml:space="preserve">elan-max-cash-preferred</t>
  </si>
  <si>
    <t xml:space="preserve">Elan Max Cash Preferred Card</t>
  </si>
  <si>
    <t xml:space="preserve">Fidelity</t>
  </si>
  <si>
    <r>
      <rPr>
        <b val="true"/>
        <sz val="9"/>
        <color rgb="FF000000"/>
        <rFont val="Arial"/>
        <family val="0"/>
        <charset val="1"/>
      </rPr>
      <t xml:space="preserve">P3 - </t>
    </r>
    <r>
      <rPr>
        <b val="true"/>
        <sz val="9"/>
        <color rgb="FF000000"/>
        <rFont val="DejaVu Sans"/>
        <family val="2"/>
      </rPr>
      <t xml:space="preserve">低</t>
    </r>
  </si>
  <si>
    <t xml:space="preserve">fidelity-rewards-visa-signature</t>
  </si>
  <si>
    <t xml:space="preserve">Fidelity® Rewards Visa Signature® Card</t>
  </si>
  <si>
    <t xml:space="preserve">apple-card</t>
  </si>
  <si>
    <t xml:space="preserve">Apple Card</t>
  </si>
  <si>
    <t xml:space="preserve">Goldman Sachs</t>
  </si>
  <si>
    <t xml:space="preserve">marcus-cash-rewards</t>
  </si>
  <si>
    <t xml:space="preserve">Marcus by Goldman Sachs Cash Rewards Credit Card</t>
  </si>
  <si>
    <t xml:space="preserve">my-gm-rewards-mastercard</t>
  </si>
  <si>
    <t xml:space="preserve">My GM Rewards Mastercard®</t>
  </si>
  <si>
    <t xml:space="preserve">health-equity-visa</t>
  </si>
  <si>
    <t xml:space="preserve">HealthEquity Visa Health Savings Card</t>
  </si>
  <si>
    <t xml:space="preserve">HealthEquity</t>
  </si>
  <si>
    <t xml:space="preserve">hsbc-elite-credit-card</t>
  </si>
  <si>
    <t xml:space="preserve">HSBC Elite Credit Card</t>
  </si>
  <si>
    <t xml:space="preserve">HSBC</t>
  </si>
  <si>
    <t xml:space="preserve">hsbc-premier-world-mastercard</t>
  </si>
  <si>
    <t xml:space="preserve">HSBC Premier World Mastercard®</t>
  </si>
  <si>
    <t xml:space="preserve">navy-federal-cashrewards</t>
  </si>
  <si>
    <t xml:space="preserve">Navy Federal Credit Union cashRewards Credit Card</t>
  </si>
  <si>
    <t xml:space="preserve">Navy Federal CU</t>
  </si>
  <si>
    <t xml:space="preserve">navy-federal-cashrewards-plus</t>
  </si>
  <si>
    <t xml:space="preserve">Navy Federal Credit Union cashRewards Plus Credit Card</t>
  </si>
  <si>
    <t xml:space="preserve">navy-federal-go-rewards</t>
  </si>
  <si>
    <t xml:space="preserve">Navy Federal Credit Union GO REWARDS® Credit Card</t>
  </si>
  <si>
    <t xml:space="preserve">navy-federal-more-rewards-amex</t>
  </si>
  <si>
    <t xml:space="preserve">Navy Federal Credit Union More Rewards American Express® Card</t>
  </si>
  <si>
    <t xml:space="preserve">navy-federal-nrewards-secured</t>
  </si>
  <si>
    <t xml:space="preserve">Navy Federal Credit Union nRewards® Secured Credit Card</t>
  </si>
  <si>
    <t xml:space="preserve">navy-federal-platinum</t>
  </si>
  <si>
    <t xml:space="preserve">Navy Federal Credit Union Platinum Credit Card</t>
  </si>
  <si>
    <t xml:space="preserve">navy-federal-flagship-rewards</t>
  </si>
  <si>
    <t xml:space="preserve">Navy Federal Credit Union Visa Signature® Flagship Rewards Credit Card</t>
  </si>
  <si>
    <t xml:space="preserve">patelco-travel-rewards-visa</t>
  </si>
  <si>
    <t xml:space="preserve">Patelco Travel Rewards Visa® Card</t>
  </si>
  <si>
    <t xml:space="preserve">Patelco CU</t>
  </si>
  <si>
    <t xml:space="preserve">penfed-gold-visa</t>
  </si>
  <si>
    <t xml:space="preserve">PenFed Gold Visa® Card</t>
  </si>
  <si>
    <t xml:space="preserve">PenFed CU</t>
  </si>
  <si>
    <t xml:space="preserve">penfed-pathfinder-rewards</t>
  </si>
  <si>
    <t xml:space="preserve">PenFed Pathfinder® Rewards Visa Signature® Card</t>
  </si>
  <si>
    <t xml:space="preserve">penfed-platinum-rewards</t>
  </si>
  <si>
    <t xml:space="preserve">PenFed Platinum Rewards Visa Signature® Card</t>
  </si>
  <si>
    <t xml:space="preserve">penfed-power-cash-rewards</t>
  </si>
  <si>
    <t xml:space="preserve">PenFed Power Cash Rewards Visa Signature® Card</t>
  </si>
  <si>
    <t xml:space="preserve">pnc-cash-rewards-visa</t>
  </si>
  <si>
    <t xml:space="preserve">PNC Cash Rewards® Visa® Credit Card</t>
  </si>
  <si>
    <t xml:space="preserve">PNC</t>
  </si>
  <si>
    <t xml:space="preserve">pnc-core-visa</t>
  </si>
  <si>
    <t xml:space="preserve">PNC Core® Visa® Credit Card</t>
  </si>
  <si>
    <t xml:space="preserve">pnc-points-visa</t>
  </si>
  <si>
    <t xml:space="preserve">PNC Points® Visa® Credit Card</t>
  </si>
  <si>
    <t xml:space="preserve">ramp-corporate-card</t>
  </si>
  <si>
    <t xml:space="preserve">Ramp Corporate Card</t>
  </si>
  <si>
    <t xml:space="preserve">Ramp</t>
  </si>
  <si>
    <t xml:space="preserve">robinhood-gold-card</t>
  </si>
  <si>
    <t xml:space="preserve">Robinhood Gold Card</t>
  </si>
  <si>
    <t xml:space="preserve">Robinhood</t>
  </si>
  <si>
    <t xml:space="preserve">self-secured-visa</t>
  </si>
  <si>
    <t xml:space="preserve">Self - Credit Builder Account + Secured Visa® Credit Card</t>
  </si>
  <si>
    <t xml:space="preserve">Self Financial</t>
  </si>
  <si>
    <t xml:space="preserve">amazon-prime-store-card-synchrony</t>
  </si>
  <si>
    <t xml:space="preserve">Amazon Prime Store Card</t>
  </si>
  <si>
    <t xml:space="preserve">Synchrony</t>
  </si>
  <si>
    <t xml:space="preserve">amazon-store-card-synchrony</t>
  </si>
  <si>
    <t xml:space="preserve">Amazon Store Card</t>
  </si>
  <si>
    <t xml:space="preserve">carecredit-card-synchrony</t>
  </si>
  <si>
    <t xml:space="preserve">CareCredit Card</t>
  </si>
  <si>
    <t xml:space="preserve">care-credit-rewards-mastercard-synchrony</t>
  </si>
  <si>
    <t xml:space="preserve">CareCredit Rewards Mastercard®</t>
  </si>
  <si>
    <t xml:space="preserve">ebay-mastercard-synchrony</t>
  </si>
  <si>
    <t xml:space="preserve">eBay Mastercard®</t>
  </si>
  <si>
    <t xml:space="preserve">jcpenney-mastercard-synchrony</t>
  </si>
  <si>
    <t xml:space="preserve">JCPenney Mastercard®</t>
  </si>
  <si>
    <t xml:space="preserve">lowes-advantage-card-synchrony</t>
  </si>
  <si>
    <t xml:space="preserve">Lowe's Advantage Card</t>
  </si>
  <si>
    <t xml:space="preserve">paypal-cashback-mastercard-synchrony</t>
  </si>
  <si>
    <t xml:space="preserve">PayPal Cashback Mastercard®</t>
  </si>
  <si>
    <t xml:space="preserve">sams-club-mastercard-synchrony</t>
  </si>
  <si>
    <t xml:space="preserve">Sam's Club® Mastercard®</t>
  </si>
  <si>
    <t xml:space="preserve">sears-mastercard-synchrony</t>
  </si>
  <si>
    <t xml:space="preserve">Sears Mastercard®</t>
  </si>
  <si>
    <t xml:space="preserve">tjx-rewards-credit-card</t>
  </si>
  <si>
    <t xml:space="preserve">TJX Rewards® Credit Card</t>
  </si>
  <si>
    <t xml:space="preserve">tjx-rewards-mastercard</t>
  </si>
  <si>
    <t xml:space="preserve">TJX Rewards® Platinum Mastercard®</t>
  </si>
  <si>
    <t xml:space="preserve">verizon-visa-synchrony</t>
  </si>
  <si>
    <t xml:space="preserve">Verizon Visa® Card</t>
  </si>
  <si>
    <t xml:space="preserve">first-progress-secured-mastercard</t>
  </si>
  <si>
    <t xml:space="preserve">First Progress Platinum Prestige Mastercard® Secured Credit Card</t>
  </si>
  <si>
    <t xml:space="preserve">Synovus Bank</t>
  </si>
  <si>
    <t xml:space="preserve">target-redcard-credit</t>
  </si>
  <si>
    <t xml:space="preserve">Target Circle™ Card (Credit)</t>
  </si>
  <si>
    <t xml:space="preserve">TD Bank</t>
  </si>
  <si>
    <t xml:space="preserve">target-mastercard-redcard</t>
  </si>
  <si>
    <t xml:space="preserve">Target Circle™ Mastercard®</t>
  </si>
  <si>
    <t xml:space="preserve">td-business-solutions-credit-card</t>
  </si>
  <si>
    <t xml:space="preserve">TD Business Solutions Credit Card</t>
  </si>
  <si>
    <t xml:space="preserve">td-cash-credit-card</t>
  </si>
  <si>
    <t xml:space="preserve">TD Cash Credit Card</t>
  </si>
  <si>
    <t xml:space="preserve">td-double-up-credit-card</t>
  </si>
  <si>
    <t xml:space="preserve">TD Double Up Credit Card</t>
  </si>
  <si>
    <t xml:space="preserve">td-first-class-visa-signature</t>
  </si>
  <si>
    <t xml:space="preserve">TD First Class Visa Signature® Credit Card</t>
  </si>
  <si>
    <t xml:space="preserve">sofi-credit-card</t>
  </si>
  <si>
    <t xml:space="preserve">SoFi Credit Card</t>
  </si>
  <si>
    <t xml:space="preserve">The Bank of Missouri</t>
  </si>
  <si>
    <t xml:space="preserve">radisson-rewards-premier-visa-signature</t>
  </si>
  <si>
    <t xml:space="preserve">Radisson Rewards™ Visa® Premier Card</t>
  </si>
  <si>
    <t xml:space="preserve">U.S. Bank</t>
  </si>
  <si>
    <t xml:space="preserve">radisson-rewards-visa-signature</t>
  </si>
  <si>
    <t xml:space="preserve">Radisson Rewards™ Visa® Signature Card</t>
  </si>
  <si>
    <t xml:space="preserve">us-bank-altitude-connect</t>
  </si>
  <si>
    <t xml:space="preserve">U.S. Bank Altitude® Connect Visa Signature® Card</t>
  </si>
  <si>
    <t xml:space="preserve">us-bank-altitude-go-secured</t>
  </si>
  <si>
    <t xml:space="preserve">U.S. Bank Altitude® Go Secured Visa® Card</t>
  </si>
  <si>
    <t xml:space="preserve">us-bank-altitude-go</t>
  </si>
  <si>
    <t xml:space="preserve">U.S. Bank Altitude® Go Visa Signature® Card</t>
  </si>
  <si>
    <t xml:space="preserve">us-bank-altitude-reserve</t>
  </si>
  <si>
    <t xml:space="preserve">U.S. Bank Altitude® Reserve Visa Infinite® Card</t>
  </si>
  <si>
    <t xml:space="preserve">us-bank-business-altitude-connect</t>
  </si>
  <si>
    <t xml:space="preserve">U.S. Bank Business Altitude® Connect Visa Signature® Card</t>
  </si>
  <si>
    <t xml:space="preserve">us-bank-business-leverage-visa</t>
  </si>
  <si>
    <t xml:space="preserve">U.S. Bank Business Leverage® Visa Signature® Card</t>
  </si>
  <si>
    <t xml:space="preserve">us-bank-business-triple-cash</t>
  </si>
  <si>
    <t xml:space="preserve">U.S. Bank Business Triple Cash Rewards World Elite Mastercard®</t>
  </si>
  <si>
    <t xml:space="preserve">us-bank-cash-plus</t>
  </si>
  <si>
    <t xml:space="preserve">U.S. Bank Cash+® Visa Signature® Card</t>
  </si>
  <si>
    <t xml:space="preserve">us-bank-secured-visa</t>
  </si>
  <si>
    <t xml:space="preserve">U.S. Bank Secured Visa® Card</t>
  </si>
  <si>
    <t xml:space="preserve">us-bank-smartly-visa</t>
  </si>
  <si>
    <t xml:space="preserve">U.S. Bank Smartly™ Visa Signature® Card</t>
  </si>
  <si>
    <t xml:space="preserve">us-bank-visa-platinum</t>
  </si>
  <si>
    <t xml:space="preserve">U.S. Bank Visa® Platinum Card</t>
  </si>
  <si>
    <t xml:space="preserve">upgrade-bitcoin-rewards-visa</t>
  </si>
  <si>
    <t xml:space="preserve">Upgrade Bitcoin Rewards Visa®</t>
  </si>
  <si>
    <t xml:space="preserve">Upgrade</t>
  </si>
  <si>
    <t xml:space="preserve">upgrade-triple-cash-rewards-visa</t>
  </si>
  <si>
    <t xml:space="preserve">Upgrade Triple Cash Rewards Visa®</t>
  </si>
  <si>
    <t xml:space="preserve">petal-1-visa</t>
  </si>
  <si>
    <t xml:space="preserve">Petal® 1 "No Annual Fee" Visa® Credit Card</t>
  </si>
  <si>
    <t xml:space="preserve">WebBank</t>
  </si>
  <si>
    <t xml:space="preserve">petal-2-visa</t>
  </si>
  <si>
    <t xml:space="preserve">Petal® 2 "Cash Back, No Fees" Visa® Credit Card</t>
  </si>
  <si>
    <t xml:space="preserve">choice-privileges-select-visa</t>
  </si>
  <si>
    <t xml:space="preserve">Choice Privileges® Select Visa® Card</t>
  </si>
  <si>
    <t xml:space="preserve">Wells Fargo</t>
  </si>
  <si>
    <t xml:space="preserve">choice-privileges-visa</t>
  </si>
  <si>
    <t xml:space="preserve">Choice Privileges® Visa Signature® Card</t>
  </si>
  <si>
    <t xml:space="preserve">wells-fargo-active-cash</t>
  </si>
  <si>
    <t xml:space="preserve">Wells Fargo Active Cash® Card</t>
  </si>
  <si>
    <t xml:space="preserve">wells-fargo-attune</t>
  </si>
  <si>
    <t xml:space="preserve">Wells Fargo Attune℠ World Elite Mastercard®</t>
  </si>
  <si>
    <t xml:space="preserve">wells-fargo-autograph-journey</t>
  </si>
  <si>
    <t xml:space="preserve">Wells Fargo Autograph Journey℠ Card</t>
  </si>
  <si>
    <t xml:space="preserve">wells-fargo-autograph</t>
  </si>
  <si>
    <t xml:space="preserve">Wells Fargo Autograph℠ Card</t>
  </si>
  <si>
    <t xml:space="preserve">wells-fargo-reflect</t>
  </si>
  <si>
    <t xml:space="preserve">Wells Fargo Reflect® Card</t>
  </si>
  <si>
    <t xml:space="preserve">wells-fargo-signify-business-cash</t>
  </si>
  <si>
    <t xml:space="preserve">Wells Fargo Signify Business Cash℠ Card</t>
  </si>
  <si>
    <r>
      <rPr>
        <b val="true"/>
        <sz val="14"/>
        <color rgb="FFFFFFFF"/>
        <rFont val="DejaVu Sans"/>
        <family val="2"/>
      </rPr>
      <t xml:space="preserve">各 </t>
    </r>
    <r>
      <rPr>
        <b val="true"/>
        <sz val="14"/>
        <color rgb="FFFFFFFF"/>
        <rFont val="Arial"/>
        <family val="0"/>
        <charset val="1"/>
      </rPr>
      <t xml:space="preserve">Issuer </t>
    </r>
    <r>
      <rPr>
        <b val="true"/>
        <sz val="14"/>
        <color rgb="FFFFFFFF"/>
        <rFont val="DejaVu Sans"/>
        <family val="2"/>
      </rPr>
      <t xml:space="preserve">卡片涵蓋率摘要</t>
    </r>
  </si>
  <si>
    <t xml:space="preserve">本清單卡片數</t>
  </si>
  <si>
    <t xml:space="preserve">預估市場在售卡</t>
  </si>
  <si>
    <t xml:space="preserve">涵蓋率（估計）</t>
  </si>
  <si>
    <t xml:space="preserve">P0</t>
  </si>
  <si>
    <t xml:space="preserve">⬜ 待確認</t>
  </si>
  <si>
    <t xml:space="preserve">P1</t>
  </si>
  <si>
    <t xml:space="preserve">P2</t>
  </si>
  <si>
    <t xml:space="preserve">P3</t>
  </si>
  <si>
    <t xml:space="preserve">P4</t>
  </si>
  <si>
    <t xml:space="preserve">?</t>
  </si>
  <si>
    <t xml:space="preserve">合計</t>
  </si>
  <si>
    <t xml:space="preserve">卡片研究批次計劃（依維護計劃優先順序）</t>
  </si>
  <si>
    <t xml:space="preserve">批次</t>
  </si>
  <si>
    <r>
      <rPr>
        <b val="true"/>
        <sz val="11"/>
        <color rgb="FFFFFFFF"/>
        <rFont val="DejaVu Sans"/>
        <family val="2"/>
      </rPr>
      <t xml:space="preserve">目標 </t>
    </r>
    <r>
      <rPr>
        <b val="true"/>
        <sz val="11"/>
        <color rgb="FFFFFFFF"/>
        <rFont val="Arial"/>
        <family val="0"/>
        <charset val="1"/>
      </rPr>
      <t xml:space="preserve">Issuer</t>
    </r>
  </si>
  <si>
    <t xml:space="preserve">預計卡片數</t>
  </si>
  <si>
    <t xml:space="preserve">研究方法</t>
  </si>
  <si>
    <t xml:space="preserve">目標期限</t>
  </si>
  <si>
    <t xml:space="preserve">狀態</t>
  </si>
  <si>
    <r>
      <rPr>
        <b val="true"/>
        <sz val="10"/>
        <rFont val="DejaVu Sans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DejaVu Sans"/>
        <family val="2"/>
      </rPr>
      <t xml:space="preserve">批</t>
    </r>
  </si>
  <si>
    <r>
      <rPr>
        <sz val="10"/>
        <rFont val="Arial"/>
        <family val="0"/>
        <charset val="1"/>
      </rPr>
      <t xml:space="preserve">Chase</t>
    </r>
    <r>
      <rPr>
        <sz val="10"/>
        <rFont val="DejaVu Sans"/>
        <family val="2"/>
      </rPr>
      <t xml:space="preserve">（全系列）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</si>
  <si>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草稿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官網人工驗證（</t>
    </r>
    <r>
      <rPr>
        <sz val="10"/>
        <rFont val="Arial"/>
        <family val="0"/>
        <charset val="1"/>
      </rPr>
      <t xml:space="preserve">creditcards.chase.com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</si>
  <si>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週</t>
    </r>
  </si>
  <si>
    <t xml:space="preserve">⬜ 待開始</t>
  </si>
  <si>
    <r>
      <rPr>
        <b val="true"/>
        <sz val="10"/>
        <rFont val="DejaVu Sans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DejaVu Sans"/>
        <family val="2"/>
      </rPr>
      <t xml:space="preserve">批</t>
    </r>
  </si>
  <si>
    <r>
      <rPr>
        <sz val="10"/>
        <rFont val="Arial"/>
        <family val="0"/>
        <charset val="1"/>
      </rPr>
      <t xml:space="preserve">American Express</t>
    </r>
    <r>
      <rPr>
        <sz val="10"/>
        <rFont val="DejaVu Sans"/>
        <family val="2"/>
      </rPr>
      <t xml:space="preserve">（消費者卡）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</si>
  <si>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草稿 </t>
    </r>
    <r>
      <rPr>
        <sz val="10"/>
        <rFont val="Arial"/>
        <family val="0"/>
        <charset val="1"/>
      </rPr>
      <t xml:space="preserve">+ The Points Guy + </t>
    </r>
    <r>
      <rPr>
        <sz val="10"/>
        <rFont val="DejaVu Sans"/>
        <family val="2"/>
      </rPr>
      <t xml:space="preserve">官網驗證</t>
    </r>
  </si>
  <si>
    <r>
      <rPr>
        <b val="true"/>
        <sz val="10"/>
        <rFont val="DejaVu Sans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DejaVu Sans"/>
        <family val="2"/>
      </rPr>
      <t xml:space="preserve">批</t>
    </r>
  </si>
  <si>
    <r>
      <rPr>
        <sz val="10"/>
        <rFont val="Arial"/>
        <family val="0"/>
        <charset val="1"/>
      </rPr>
      <t xml:space="preserve">Citi</t>
    </r>
    <r>
      <rPr>
        <sz val="10"/>
        <rFont val="DejaVu Sans"/>
        <family val="2"/>
      </rPr>
      <t xml:space="preserve">（主流消費者卡）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</si>
  <si>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草稿 </t>
    </r>
    <r>
      <rPr>
        <sz val="10"/>
        <rFont val="Arial"/>
        <family val="0"/>
        <charset val="1"/>
      </rPr>
      <t xml:space="preserve">+ Doctor of Credit </t>
    </r>
    <r>
      <rPr>
        <sz val="10"/>
        <rFont val="DejaVu Sans"/>
        <family val="2"/>
      </rPr>
      <t xml:space="preserve">交叉驗證</t>
    </r>
  </si>
  <si>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週</t>
    </r>
  </si>
  <si>
    <r>
      <rPr>
        <b val="true"/>
        <sz val="10"/>
        <rFont val="DejaVu Sans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4 </t>
    </r>
    <r>
      <rPr>
        <b val="true"/>
        <sz val="10"/>
        <rFont val="DejaVu Sans"/>
        <family val="2"/>
      </rPr>
      <t xml:space="preserve">批</t>
    </r>
  </si>
  <si>
    <t xml:space="preserve">Capital One + Bank of America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</si>
  <si>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草稿 </t>
    </r>
    <r>
      <rPr>
        <sz val="10"/>
        <rFont val="Arial"/>
        <family val="0"/>
        <charset val="1"/>
      </rPr>
      <t xml:space="preserve">+ NerdWallet + </t>
    </r>
    <r>
      <rPr>
        <sz val="10"/>
        <rFont val="DejaVu Sans"/>
        <family val="2"/>
      </rPr>
      <t xml:space="preserve">官網驗證</t>
    </r>
  </si>
  <si>
    <r>
      <rPr>
        <b val="true"/>
        <sz val="10"/>
        <rFont val="DejaVu Sans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DejaVu Sans"/>
        <family val="2"/>
      </rPr>
      <t xml:space="preserve">批</t>
    </r>
  </si>
  <si>
    <t xml:space="preserve">Wells Fargo + Discover + U.S. Bank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</si>
  <si>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草稿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官網驗證</t>
    </r>
  </si>
  <si>
    <r>
      <rPr>
        <b val="true"/>
        <sz val="10"/>
        <rFont val="DejaVu Sans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DejaVu Sans"/>
        <family val="2"/>
      </rPr>
      <t xml:space="preserve">批</t>
    </r>
  </si>
  <si>
    <r>
      <rPr>
        <sz val="10"/>
        <rFont val="Arial"/>
        <family val="0"/>
        <charset val="1"/>
      </rPr>
      <t xml:space="preserve">Barclays co-brand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JetBlue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Wyndham </t>
    </r>
    <r>
      <rPr>
        <sz val="10"/>
        <rFont val="DejaVu Sans"/>
        <family val="2"/>
      </rPr>
      <t xml:space="preserve">等）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</si>
  <si>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草稿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官網驗證 </t>
    </r>
    <r>
      <rPr>
        <sz val="10"/>
        <rFont val="Arial"/>
        <family val="0"/>
        <charset val="1"/>
      </rPr>
      <t xml:space="preserve">+ TPG</t>
    </r>
  </si>
  <si>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週</t>
    </r>
  </si>
  <si>
    <t xml:space="preserve">持續批次</t>
  </si>
  <si>
    <r>
      <rPr>
        <sz val="10"/>
        <rFont val="Arial"/>
        <family val="0"/>
        <charset val="1"/>
      </rPr>
      <t xml:space="preserve">Navy Federal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PenFed</t>
    </r>
    <r>
      <rPr>
        <sz val="10"/>
        <rFont val="DejaVu Sans"/>
        <family val="2"/>
      </rPr>
      <t xml:space="preserve">、小型 </t>
    </r>
    <r>
      <rPr>
        <sz val="10"/>
        <rFont val="Arial"/>
        <family val="0"/>
        <charset val="1"/>
      </rPr>
      <t xml:space="preserve">Issuer</t>
    </r>
  </si>
  <si>
    <r>
      <rPr>
        <sz val="10"/>
        <rFont val="DejaVu Sans"/>
        <family val="2"/>
      </rPr>
      <t xml:space="preserve">社群貢獻 </t>
    </r>
    <r>
      <rPr>
        <sz val="10"/>
        <rFont val="Arial"/>
        <family val="0"/>
        <charset val="1"/>
      </rPr>
      <t xml:space="preserve">+ AI </t>
    </r>
    <r>
      <rPr>
        <sz val="10"/>
        <rFont val="DejaVu Sans"/>
        <family val="2"/>
      </rPr>
      <t xml:space="preserve">草稿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人工 </t>
    </r>
    <r>
      <rPr>
        <sz val="10"/>
        <rFont val="Arial"/>
        <family val="0"/>
        <charset val="1"/>
      </rPr>
      <t xml:space="preserve">QA</t>
    </r>
  </si>
  <si>
    <t xml:space="preserve">季度循環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</si>
</sst>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0000"/>
      <name val="DejaVu Sans"/>
      <family val="2"/>
    </font>
    <font>
      <sz val="10"/>
      <color rgb="FF000000"/>
      <name val="DejaVu Sans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name val="DejaVu Sans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E0"/>
      </patternFill>
    </fill>
    <fill>
      <patternFill patternType="solid">
        <fgColor rgb="FFFCE4D6"/>
        <bgColor rgb="FFFFF2CC"/>
      </patternFill>
    </fill>
    <fill>
      <patternFill patternType="solid">
        <fgColor rgb="FFEBF3FB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FFFD0"/>
      </patternFill>
    </fill>
    <fill>
      <patternFill patternType="solid">
        <fgColor rgb="FFFFFFE0"/>
        <bgColor rgb="FFFFFFD0"/>
      </patternFill>
    </fill>
    <fill>
      <patternFill patternType="solid">
        <fgColor rgb="FFE2EFDA"/>
        <bgColor rgb="FFD5E8F0"/>
      </patternFill>
    </fill>
    <fill>
      <patternFill patternType="solid">
        <fgColor rgb="FFFFFFD0"/>
        <bgColor rgb="FFFFFFE0"/>
      </patternFill>
    </fill>
    <fill>
      <patternFill patternType="solid">
        <fgColor rgb="FFD5E8F0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D0"/>
      <rgbColor rgb="FFD5E8F0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2CC"/>
      <rgbColor rgb="FFFFFFE0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5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customFormat="false" ht="18" hidden="false" customHeight="true" outlineLevel="0" collapsed="false">
      <c r="A3" s="4" t="n">
        <v>1</v>
      </c>
      <c r="B3" s="5" t="s">
        <v>11</v>
      </c>
      <c r="C3" s="6" t="s">
        <v>12</v>
      </c>
      <c r="D3" s="6" t="s">
        <v>13</v>
      </c>
      <c r="E3" s="7" t="n">
        <v>0</v>
      </c>
      <c r="F3" s="8" t="s">
        <v>14</v>
      </c>
      <c r="G3" s="9" t="s">
        <v>15</v>
      </c>
      <c r="H3" s="6"/>
      <c r="I3" s="7"/>
      <c r="J3" s="6"/>
    </row>
    <row r="4" customFormat="false" ht="18" hidden="false" customHeight="true" outlineLevel="0" collapsed="false">
      <c r="A4" s="10" t="n">
        <v>2</v>
      </c>
      <c r="B4" s="11" t="s">
        <v>16</v>
      </c>
      <c r="C4" s="12" t="s">
        <v>17</v>
      </c>
      <c r="D4" s="12" t="s">
        <v>13</v>
      </c>
      <c r="E4" s="13" t="n">
        <v>0</v>
      </c>
      <c r="F4" s="8" t="s">
        <v>14</v>
      </c>
      <c r="G4" s="14" t="s">
        <v>15</v>
      </c>
      <c r="H4" s="12"/>
      <c r="I4" s="13"/>
      <c r="J4" s="12"/>
    </row>
    <row r="5" customFormat="false" ht="18" hidden="false" customHeight="true" outlineLevel="0" collapsed="false">
      <c r="A5" s="4" t="n">
        <v>3</v>
      </c>
      <c r="B5" s="5" t="s">
        <v>18</v>
      </c>
      <c r="C5" s="6" t="s">
        <v>19</v>
      </c>
      <c r="D5" s="6" t="s">
        <v>13</v>
      </c>
      <c r="E5" s="7" t="n">
        <v>0</v>
      </c>
      <c r="F5" s="8" t="s">
        <v>14</v>
      </c>
      <c r="G5" s="9" t="s">
        <v>15</v>
      </c>
      <c r="H5" s="6"/>
      <c r="I5" s="7"/>
      <c r="J5" s="6"/>
    </row>
    <row r="6" customFormat="false" ht="18" hidden="false" customHeight="true" outlineLevel="0" collapsed="false">
      <c r="A6" s="10" t="n">
        <v>4</v>
      </c>
      <c r="B6" s="11" t="s">
        <v>20</v>
      </c>
      <c r="C6" s="12" t="s">
        <v>21</v>
      </c>
      <c r="D6" s="12" t="s">
        <v>13</v>
      </c>
      <c r="E6" s="13" t="n">
        <v>0</v>
      </c>
      <c r="F6" s="8" t="s">
        <v>14</v>
      </c>
      <c r="G6" s="14" t="s">
        <v>15</v>
      </c>
      <c r="H6" s="12"/>
      <c r="I6" s="13"/>
      <c r="J6" s="12"/>
    </row>
    <row r="7" customFormat="false" ht="18" hidden="false" customHeight="true" outlineLevel="0" collapsed="false">
      <c r="A7" s="4" t="n">
        <v>5</v>
      </c>
      <c r="B7" s="5" t="s">
        <v>22</v>
      </c>
      <c r="C7" s="6" t="s">
        <v>23</v>
      </c>
      <c r="D7" s="6" t="s">
        <v>13</v>
      </c>
      <c r="E7" s="7" t="n">
        <v>375</v>
      </c>
      <c r="F7" s="8" t="s">
        <v>14</v>
      </c>
      <c r="G7" s="9" t="s">
        <v>15</v>
      </c>
      <c r="H7" s="6"/>
      <c r="I7" s="7"/>
      <c r="J7" s="6"/>
    </row>
    <row r="8" customFormat="false" ht="18" hidden="false" customHeight="true" outlineLevel="0" collapsed="false">
      <c r="A8" s="10" t="n">
        <v>6</v>
      </c>
      <c r="B8" s="11" t="s">
        <v>24</v>
      </c>
      <c r="C8" s="12" t="s">
        <v>25</v>
      </c>
      <c r="D8" s="12" t="s">
        <v>13</v>
      </c>
      <c r="E8" s="13" t="n">
        <v>325</v>
      </c>
      <c r="F8" s="8" t="s">
        <v>14</v>
      </c>
      <c r="G8" s="14" t="s">
        <v>15</v>
      </c>
      <c r="H8" s="12"/>
      <c r="I8" s="13"/>
      <c r="J8" s="12"/>
    </row>
    <row r="9" customFormat="false" ht="18" hidden="false" customHeight="true" outlineLevel="0" collapsed="false">
      <c r="A9" s="4" t="n">
        <v>7</v>
      </c>
      <c r="B9" s="5" t="s">
        <v>26</v>
      </c>
      <c r="C9" s="6" t="s">
        <v>27</v>
      </c>
      <c r="D9" s="6" t="s">
        <v>13</v>
      </c>
      <c r="E9" s="7" t="n">
        <v>150</v>
      </c>
      <c r="F9" s="8" t="s">
        <v>14</v>
      </c>
      <c r="G9" s="9" t="s">
        <v>15</v>
      </c>
      <c r="H9" s="6"/>
      <c r="I9" s="7"/>
      <c r="J9" s="6"/>
    </row>
    <row r="10" customFormat="false" ht="18" hidden="false" customHeight="true" outlineLevel="0" collapsed="false">
      <c r="A10" s="10" t="n">
        <v>8</v>
      </c>
      <c r="B10" s="11" t="s">
        <v>28</v>
      </c>
      <c r="C10" s="12" t="s">
        <v>29</v>
      </c>
      <c r="D10" s="12" t="s">
        <v>13</v>
      </c>
      <c r="E10" s="13" t="n">
        <v>0</v>
      </c>
      <c r="F10" s="8" t="s">
        <v>14</v>
      </c>
      <c r="G10" s="14" t="s">
        <v>15</v>
      </c>
      <c r="H10" s="12"/>
      <c r="I10" s="13"/>
      <c r="J10" s="12"/>
    </row>
    <row r="11" customFormat="false" ht="18" hidden="false" customHeight="true" outlineLevel="0" collapsed="false">
      <c r="A11" s="4" t="n">
        <v>9</v>
      </c>
      <c r="B11" s="5" t="s">
        <v>30</v>
      </c>
      <c r="C11" s="6" t="s">
        <v>31</v>
      </c>
      <c r="D11" s="6" t="s">
        <v>13</v>
      </c>
      <c r="E11" s="7" t="n">
        <v>95</v>
      </c>
      <c r="F11" s="8" t="s">
        <v>14</v>
      </c>
      <c r="G11" s="9" t="s">
        <v>15</v>
      </c>
      <c r="H11" s="6"/>
      <c r="I11" s="7"/>
      <c r="J11" s="6"/>
    </row>
    <row r="12" customFormat="false" ht="18" hidden="false" customHeight="true" outlineLevel="0" collapsed="false">
      <c r="A12" s="10" t="n">
        <v>10</v>
      </c>
      <c r="B12" s="11" t="s">
        <v>32</v>
      </c>
      <c r="C12" s="12" t="s">
        <v>33</v>
      </c>
      <c r="D12" s="12" t="s">
        <v>13</v>
      </c>
      <c r="E12" s="13" t="n">
        <v>0</v>
      </c>
      <c r="F12" s="8" t="s">
        <v>14</v>
      </c>
      <c r="G12" s="14" t="s">
        <v>15</v>
      </c>
      <c r="H12" s="12"/>
      <c r="I12" s="13"/>
      <c r="J12" s="12"/>
    </row>
    <row r="13" customFormat="false" ht="18" hidden="false" customHeight="true" outlineLevel="0" collapsed="false">
      <c r="A13" s="4" t="n">
        <v>11</v>
      </c>
      <c r="B13" s="5" t="s">
        <v>34</v>
      </c>
      <c r="C13" s="6" t="s">
        <v>35</v>
      </c>
      <c r="D13" s="6" t="s">
        <v>13</v>
      </c>
      <c r="E13" s="7" t="n">
        <v>95</v>
      </c>
      <c r="F13" s="8" t="s">
        <v>14</v>
      </c>
      <c r="G13" s="9" t="s">
        <v>15</v>
      </c>
      <c r="H13" s="6"/>
      <c r="I13" s="7"/>
      <c r="J13" s="6"/>
    </row>
    <row r="14" customFormat="false" ht="18" hidden="false" customHeight="true" outlineLevel="0" collapsed="false">
      <c r="A14" s="10" t="n">
        <v>12</v>
      </c>
      <c r="B14" s="11" t="s">
        <v>36</v>
      </c>
      <c r="C14" s="12" t="s">
        <v>37</v>
      </c>
      <c r="D14" s="12" t="s">
        <v>13</v>
      </c>
      <c r="E14" s="13" t="n">
        <v>0</v>
      </c>
      <c r="F14" s="8" t="s">
        <v>14</v>
      </c>
      <c r="G14" s="14" t="s">
        <v>15</v>
      </c>
      <c r="H14" s="12"/>
      <c r="I14" s="13"/>
      <c r="J14" s="12"/>
    </row>
    <row r="15" customFormat="false" ht="18" hidden="false" customHeight="true" outlineLevel="0" collapsed="false">
      <c r="A15" s="4" t="n">
        <v>13</v>
      </c>
      <c r="B15" s="5" t="s">
        <v>38</v>
      </c>
      <c r="C15" s="6" t="s">
        <v>39</v>
      </c>
      <c r="D15" s="6" t="s">
        <v>13</v>
      </c>
      <c r="E15" s="7" t="n">
        <v>0</v>
      </c>
      <c r="F15" s="8" t="s">
        <v>14</v>
      </c>
      <c r="G15" s="9" t="s">
        <v>15</v>
      </c>
      <c r="H15" s="6"/>
      <c r="I15" s="7"/>
      <c r="J15" s="6"/>
    </row>
    <row r="16" customFormat="false" ht="18" hidden="false" customHeight="true" outlineLevel="0" collapsed="false">
      <c r="A16" s="10" t="n">
        <v>14</v>
      </c>
      <c r="B16" s="11" t="s">
        <v>40</v>
      </c>
      <c r="C16" s="12" t="s">
        <v>41</v>
      </c>
      <c r="D16" s="12" t="s">
        <v>13</v>
      </c>
      <c r="E16" s="13" t="n">
        <v>0</v>
      </c>
      <c r="F16" s="8" t="s">
        <v>14</v>
      </c>
      <c r="G16" s="14" t="s">
        <v>15</v>
      </c>
      <c r="H16" s="12"/>
      <c r="I16" s="13"/>
      <c r="J16" s="12"/>
    </row>
    <row r="17" customFormat="false" ht="18" hidden="false" customHeight="true" outlineLevel="0" collapsed="false">
      <c r="A17" s="4" t="n">
        <v>15</v>
      </c>
      <c r="B17" s="5" t="s">
        <v>42</v>
      </c>
      <c r="C17" s="6" t="s">
        <v>43</v>
      </c>
      <c r="D17" s="6" t="s">
        <v>13</v>
      </c>
      <c r="E17" s="7" t="n">
        <v>150</v>
      </c>
      <c r="F17" s="8" t="s">
        <v>14</v>
      </c>
      <c r="G17" s="9" t="s">
        <v>15</v>
      </c>
      <c r="H17" s="6"/>
      <c r="I17" s="7"/>
      <c r="J17" s="6"/>
    </row>
    <row r="18" customFormat="false" ht="18" hidden="false" customHeight="true" outlineLevel="0" collapsed="false">
      <c r="A18" s="10" t="n">
        <v>16</v>
      </c>
      <c r="B18" s="11" t="s">
        <v>44</v>
      </c>
      <c r="C18" s="12" t="s">
        <v>45</v>
      </c>
      <c r="D18" s="12" t="s">
        <v>13</v>
      </c>
      <c r="E18" s="13" t="n">
        <v>150</v>
      </c>
      <c r="F18" s="8" t="s">
        <v>14</v>
      </c>
      <c r="G18" s="14" t="s">
        <v>15</v>
      </c>
      <c r="H18" s="12"/>
      <c r="I18" s="13"/>
      <c r="J18" s="12"/>
    </row>
    <row r="19" customFormat="false" ht="18" hidden="false" customHeight="true" outlineLevel="0" collapsed="false">
      <c r="A19" s="4" t="n">
        <v>17</v>
      </c>
      <c r="B19" s="5" t="s">
        <v>46</v>
      </c>
      <c r="C19" s="6" t="s">
        <v>47</v>
      </c>
      <c r="D19" s="6" t="s">
        <v>13</v>
      </c>
      <c r="E19" s="7" t="n">
        <v>350</v>
      </c>
      <c r="F19" s="8" t="s">
        <v>14</v>
      </c>
      <c r="G19" s="9" t="s">
        <v>15</v>
      </c>
      <c r="H19" s="6"/>
      <c r="I19" s="7"/>
      <c r="J19" s="6"/>
    </row>
    <row r="20" customFormat="false" ht="18" hidden="false" customHeight="true" outlineLevel="0" collapsed="false">
      <c r="A20" s="10" t="n">
        <v>18</v>
      </c>
      <c r="B20" s="11" t="s">
        <v>48</v>
      </c>
      <c r="C20" s="12" t="s">
        <v>49</v>
      </c>
      <c r="D20" s="12" t="s">
        <v>13</v>
      </c>
      <c r="E20" s="13" t="n">
        <v>350</v>
      </c>
      <c r="F20" s="8" t="s">
        <v>14</v>
      </c>
      <c r="G20" s="14" t="s">
        <v>15</v>
      </c>
      <c r="H20" s="12"/>
      <c r="I20" s="13"/>
      <c r="J20" s="12"/>
    </row>
    <row r="21" customFormat="false" ht="18" hidden="false" customHeight="true" outlineLevel="0" collapsed="false">
      <c r="A21" s="4" t="n">
        <v>19</v>
      </c>
      <c r="B21" s="5" t="s">
        <v>50</v>
      </c>
      <c r="C21" s="6" t="s">
        <v>51</v>
      </c>
      <c r="D21" s="6" t="s">
        <v>13</v>
      </c>
      <c r="E21" s="7" t="n">
        <v>650</v>
      </c>
      <c r="F21" s="8" t="s">
        <v>14</v>
      </c>
      <c r="G21" s="9" t="s">
        <v>15</v>
      </c>
      <c r="H21" s="6"/>
      <c r="I21" s="7"/>
      <c r="J21" s="6"/>
    </row>
    <row r="22" customFormat="false" ht="18" hidden="false" customHeight="true" outlineLevel="0" collapsed="false">
      <c r="A22" s="10" t="n">
        <v>20</v>
      </c>
      <c r="B22" s="11" t="s">
        <v>52</v>
      </c>
      <c r="C22" s="12" t="s">
        <v>53</v>
      </c>
      <c r="D22" s="12" t="s">
        <v>13</v>
      </c>
      <c r="E22" s="13" t="n">
        <v>650</v>
      </c>
      <c r="F22" s="8" t="s">
        <v>14</v>
      </c>
      <c r="G22" s="14" t="s">
        <v>15</v>
      </c>
      <c r="H22" s="12"/>
      <c r="I22" s="13"/>
      <c r="J22" s="12"/>
    </row>
    <row r="23" customFormat="false" ht="18" hidden="false" customHeight="true" outlineLevel="0" collapsed="false">
      <c r="A23" s="4" t="n">
        <v>21</v>
      </c>
      <c r="B23" s="5" t="s">
        <v>54</v>
      </c>
      <c r="C23" s="6" t="s">
        <v>55</v>
      </c>
      <c r="D23" s="6" t="s">
        <v>13</v>
      </c>
      <c r="E23" s="7" t="n">
        <v>550</v>
      </c>
      <c r="F23" s="8" t="s">
        <v>14</v>
      </c>
      <c r="G23" s="9" t="s">
        <v>15</v>
      </c>
      <c r="H23" s="6"/>
      <c r="I23" s="7"/>
      <c r="J23" s="6"/>
    </row>
    <row r="24" customFormat="false" ht="18" hidden="false" customHeight="true" outlineLevel="0" collapsed="false">
      <c r="A24" s="10" t="n">
        <v>22</v>
      </c>
      <c r="B24" s="11" t="s">
        <v>56</v>
      </c>
      <c r="C24" s="12" t="s">
        <v>57</v>
      </c>
      <c r="D24" s="12" t="s">
        <v>13</v>
      </c>
      <c r="E24" s="13" t="n">
        <v>95</v>
      </c>
      <c r="F24" s="8" t="s">
        <v>14</v>
      </c>
      <c r="G24" s="14" t="s">
        <v>15</v>
      </c>
      <c r="H24" s="12"/>
      <c r="I24" s="13"/>
      <c r="J24" s="12"/>
    </row>
    <row r="25" customFormat="false" ht="18" hidden="false" customHeight="true" outlineLevel="0" collapsed="false">
      <c r="A25" s="4" t="n">
        <v>23</v>
      </c>
      <c r="B25" s="5" t="s">
        <v>58</v>
      </c>
      <c r="C25" s="6" t="s">
        <v>59</v>
      </c>
      <c r="D25" s="6" t="s">
        <v>13</v>
      </c>
      <c r="E25" s="7" t="n">
        <v>0</v>
      </c>
      <c r="F25" s="8" t="s">
        <v>14</v>
      </c>
      <c r="G25" s="9" t="s">
        <v>15</v>
      </c>
      <c r="H25" s="6"/>
      <c r="I25" s="7"/>
      <c r="J25" s="6"/>
    </row>
    <row r="26" customFormat="false" ht="18" hidden="false" customHeight="true" outlineLevel="0" collapsed="false">
      <c r="A26" s="10" t="n">
        <v>24</v>
      </c>
      <c r="B26" s="11" t="s">
        <v>60</v>
      </c>
      <c r="C26" s="12" t="s">
        <v>61</v>
      </c>
      <c r="D26" s="12" t="s">
        <v>13</v>
      </c>
      <c r="E26" s="13" t="n">
        <v>150</v>
      </c>
      <c r="F26" s="8" t="s">
        <v>14</v>
      </c>
      <c r="G26" s="14" t="s">
        <v>15</v>
      </c>
      <c r="H26" s="12"/>
      <c r="I26" s="13"/>
      <c r="J26" s="12"/>
    </row>
    <row r="27" customFormat="false" ht="18" hidden="false" customHeight="true" outlineLevel="0" collapsed="false">
      <c r="A27" s="4" t="n">
        <v>25</v>
      </c>
      <c r="B27" s="5" t="s">
        <v>62</v>
      </c>
      <c r="C27" s="6" t="s">
        <v>63</v>
      </c>
      <c r="D27" s="6" t="s">
        <v>13</v>
      </c>
      <c r="E27" s="7" t="n">
        <v>250</v>
      </c>
      <c r="F27" s="8" t="s">
        <v>14</v>
      </c>
      <c r="G27" s="9" t="s">
        <v>15</v>
      </c>
      <c r="H27" s="6"/>
      <c r="I27" s="7"/>
      <c r="J27" s="6"/>
    </row>
    <row r="28" customFormat="false" ht="18" hidden="false" customHeight="true" outlineLevel="0" collapsed="false">
      <c r="A28" s="10" t="n">
        <v>26</v>
      </c>
      <c r="B28" s="11" t="s">
        <v>64</v>
      </c>
      <c r="C28" s="12" t="s">
        <v>65</v>
      </c>
      <c r="D28" s="12" t="s">
        <v>13</v>
      </c>
      <c r="E28" s="13" t="n">
        <v>650</v>
      </c>
      <c r="F28" s="8" t="s">
        <v>14</v>
      </c>
      <c r="G28" s="14" t="s">
        <v>15</v>
      </c>
      <c r="H28" s="12"/>
      <c r="I28" s="13"/>
      <c r="J28" s="12"/>
    </row>
    <row r="29" customFormat="false" ht="18" hidden="false" customHeight="true" outlineLevel="0" collapsed="false">
      <c r="A29" s="4" t="n">
        <v>27</v>
      </c>
      <c r="B29" s="5" t="s">
        <v>66</v>
      </c>
      <c r="C29" s="6" t="s">
        <v>67</v>
      </c>
      <c r="D29" s="6" t="s">
        <v>13</v>
      </c>
      <c r="E29" s="7" t="n">
        <v>125</v>
      </c>
      <c r="F29" s="8" t="s">
        <v>14</v>
      </c>
      <c r="G29" s="9" t="s">
        <v>15</v>
      </c>
      <c r="H29" s="6"/>
      <c r="I29" s="7"/>
      <c r="J29" s="6"/>
    </row>
    <row r="30" customFormat="false" ht="18" hidden="false" customHeight="true" outlineLevel="0" collapsed="false">
      <c r="A30" s="10" t="n">
        <v>28</v>
      </c>
      <c r="B30" s="11" t="s">
        <v>68</v>
      </c>
      <c r="C30" s="12" t="s">
        <v>69</v>
      </c>
      <c r="D30" s="12" t="s">
        <v>13</v>
      </c>
      <c r="E30" s="13" t="n">
        <v>895</v>
      </c>
      <c r="F30" s="8" t="s">
        <v>14</v>
      </c>
      <c r="G30" s="14" t="s">
        <v>15</v>
      </c>
      <c r="H30" s="12"/>
      <c r="I30" s="13"/>
      <c r="J30" s="12"/>
    </row>
    <row r="31" customFormat="false" ht="18" hidden="false" customHeight="true" outlineLevel="0" collapsed="false">
      <c r="A31" s="4" t="n">
        <v>29</v>
      </c>
      <c r="B31" s="5" t="s">
        <v>70</v>
      </c>
      <c r="C31" s="6" t="s">
        <v>71</v>
      </c>
      <c r="D31" s="6" t="s">
        <v>13</v>
      </c>
      <c r="E31" s="7" t="n">
        <v>5000</v>
      </c>
      <c r="F31" s="8" t="s">
        <v>14</v>
      </c>
      <c r="G31" s="9" t="s">
        <v>15</v>
      </c>
      <c r="H31" s="6"/>
      <c r="I31" s="7"/>
      <c r="J31" s="6"/>
    </row>
    <row r="32" customFormat="false" ht="18" hidden="false" customHeight="true" outlineLevel="0" collapsed="false">
      <c r="A32" s="10" t="n">
        <v>30</v>
      </c>
      <c r="B32" s="11" t="s">
        <v>72</v>
      </c>
      <c r="C32" s="12" t="s">
        <v>73</v>
      </c>
      <c r="D32" s="12" t="s">
        <v>13</v>
      </c>
      <c r="E32" s="13" t="n">
        <v>895</v>
      </c>
      <c r="F32" s="8" t="s">
        <v>14</v>
      </c>
      <c r="G32" s="14" t="s">
        <v>15</v>
      </c>
      <c r="H32" s="12"/>
      <c r="I32" s="13"/>
      <c r="J32" s="12"/>
    </row>
    <row r="33" customFormat="false" ht="18" hidden="false" customHeight="true" outlineLevel="0" collapsed="false">
      <c r="A33" s="4" t="n">
        <v>31</v>
      </c>
      <c r="B33" s="5" t="s">
        <v>74</v>
      </c>
      <c r="C33" s="6" t="s">
        <v>75</v>
      </c>
      <c r="D33" s="6" t="s">
        <v>13</v>
      </c>
      <c r="E33" s="7" t="n">
        <v>250</v>
      </c>
      <c r="F33" s="8" t="s">
        <v>14</v>
      </c>
      <c r="G33" s="9" t="s">
        <v>15</v>
      </c>
      <c r="H33" s="6"/>
      <c r="I33" s="7"/>
      <c r="J33" s="6"/>
    </row>
    <row r="34" customFormat="false" ht="18" hidden="false" customHeight="true" outlineLevel="0" collapsed="false">
      <c r="A34" s="10" t="n">
        <v>32</v>
      </c>
      <c r="B34" s="11" t="s">
        <v>76</v>
      </c>
      <c r="C34" s="12" t="s">
        <v>77</v>
      </c>
      <c r="D34" s="12" t="s">
        <v>78</v>
      </c>
      <c r="E34" s="13" t="n">
        <v>0</v>
      </c>
      <c r="F34" s="15" t="s">
        <v>79</v>
      </c>
      <c r="G34" s="14" t="s">
        <v>15</v>
      </c>
      <c r="H34" s="12"/>
      <c r="I34" s="13"/>
      <c r="J34" s="12"/>
    </row>
    <row r="35" customFormat="false" ht="18" hidden="false" customHeight="true" outlineLevel="0" collapsed="false">
      <c r="A35" s="4" t="n">
        <v>33</v>
      </c>
      <c r="B35" s="5" t="s">
        <v>80</v>
      </c>
      <c r="C35" s="6" t="s">
        <v>81</v>
      </c>
      <c r="D35" s="6" t="s">
        <v>82</v>
      </c>
      <c r="E35" s="7" t="n">
        <v>0</v>
      </c>
      <c r="F35" s="15" t="s">
        <v>79</v>
      </c>
      <c r="G35" s="9" t="s">
        <v>15</v>
      </c>
      <c r="H35" s="6"/>
      <c r="I35" s="7"/>
      <c r="J35" s="6"/>
    </row>
    <row r="36" customFormat="false" ht="18" hidden="false" customHeight="true" outlineLevel="0" collapsed="false">
      <c r="A36" s="10" t="n">
        <v>34</v>
      </c>
      <c r="B36" s="11" t="s">
        <v>83</v>
      </c>
      <c r="C36" s="12" t="s">
        <v>84</v>
      </c>
      <c r="D36" s="12" t="s">
        <v>85</v>
      </c>
      <c r="E36" s="13" t="n">
        <v>75</v>
      </c>
      <c r="F36" s="16" t="s">
        <v>86</v>
      </c>
      <c r="G36" s="14" t="s">
        <v>15</v>
      </c>
      <c r="H36" s="12"/>
      <c r="I36" s="13"/>
      <c r="J36" s="12"/>
    </row>
    <row r="37" customFormat="false" ht="18" hidden="false" customHeight="true" outlineLevel="0" collapsed="false">
      <c r="A37" s="4" t="n">
        <v>35</v>
      </c>
      <c r="B37" s="5" t="s">
        <v>87</v>
      </c>
      <c r="C37" s="6" t="s">
        <v>88</v>
      </c>
      <c r="D37" s="6" t="s">
        <v>85</v>
      </c>
      <c r="E37" s="7" t="n">
        <v>75</v>
      </c>
      <c r="F37" s="16" t="s">
        <v>86</v>
      </c>
      <c r="G37" s="9" t="s">
        <v>15</v>
      </c>
      <c r="H37" s="6"/>
      <c r="I37" s="7"/>
      <c r="J37" s="6"/>
    </row>
    <row r="38" customFormat="false" ht="18" hidden="false" customHeight="true" outlineLevel="0" collapsed="false">
      <c r="A38" s="10" t="n">
        <v>36</v>
      </c>
      <c r="B38" s="11" t="s">
        <v>89</v>
      </c>
      <c r="C38" s="12" t="s">
        <v>88</v>
      </c>
      <c r="D38" s="12" t="s">
        <v>85</v>
      </c>
      <c r="E38" s="13" t="n">
        <v>75</v>
      </c>
      <c r="F38" s="16" t="s">
        <v>86</v>
      </c>
      <c r="G38" s="14" t="s">
        <v>15</v>
      </c>
      <c r="H38" s="12"/>
      <c r="I38" s="13"/>
      <c r="J38" s="12"/>
    </row>
    <row r="39" customFormat="false" ht="18" hidden="false" customHeight="true" outlineLevel="0" collapsed="false">
      <c r="A39" s="4" t="n">
        <v>37</v>
      </c>
      <c r="B39" s="5" t="s">
        <v>90</v>
      </c>
      <c r="C39" s="6" t="s">
        <v>91</v>
      </c>
      <c r="D39" s="6" t="s">
        <v>85</v>
      </c>
      <c r="E39" s="7" t="n">
        <v>0</v>
      </c>
      <c r="F39" s="16" t="s">
        <v>86</v>
      </c>
      <c r="G39" s="9" t="s">
        <v>15</v>
      </c>
      <c r="H39" s="6"/>
      <c r="I39" s="7"/>
      <c r="J39" s="6"/>
    </row>
    <row r="40" customFormat="false" ht="18" hidden="false" customHeight="true" outlineLevel="0" collapsed="false">
      <c r="A40" s="10" t="n">
        <v>38</v>
      </c>
      <c r="B40" s="11" t="s">
        <v>92</v>
      </c>
      <c r="C40" s="12" t="s">
        <v>93</v>
      </c>
      <c r="D40" s="12" t="s">
        <v>85</v>
      </c>
      <c r="E40" s="13" t="n">
        <v>0</v>
      </c>
      <c r="F40" s="16" t="s">
        <v>86</v>
      </c>
      <c r="G40" s="14" t="s">
        <v>15</v>
      </c>
      <c r="H40" s="12"/>
      <c r="I40" s="13"/>
      <c r="J40" s="12"/>
    </row>
    <row r="41" customFormat="false" ht="18" hidden="false" customHeight="true" outlineLevel="0" collapsed="false">
      <c r="A41" s="4" t="n">
        <v>39</v>
      </c>
      <c r="B41" s="5" t="s">
        <v>94</v>
      </c>
      <c r="C41" s="6" t="s">
        <v>95</v>
      </c>
      <c r="D41" s="6" t="s">
        <v>85</v>
      </c>
      <c r="E41" s="7" t="n">
        <v>0</v>
      </c>
      <c r="F41" s="16" t="s">
        <v>86</v>
      </c>
      <c r="G41" s="9" t="s">
        <v>15</v>
      </c>
      <c r="H41" s="6"/>
      <c r="I41" s="7"/>
      <c r="J41" s="6"/>
    </row>
    <row r="42" customFormat="false" ht="18" hidden="false" customHeight="true" outlineLevel="0" collapsed="false">
      <c r="A42" s="10" t="n">
        <v>40</v>
      </c>
      <c r="B42" s="11" t="s">
        <v>96</v>
      </c>
      <c r="C42" s="12" t="s">
        <v>97</v>
      </c>
      <c r="D42" s="12" t="s">
        <v>85</v>
      </c>
      <c r="E42" s="13" t="n">
        <v>0</v>
      </c>
      <c r="F42" s="16" t="s">
        <v>86</v>
      </c>
      <c r="G42" s="14" t="s">
        <v>15</v>
      </c>
      <c r="H42" s="12"/>
      <c r="I42" s="13"/>
      <c r="J42" s="12"/>
    </row>
    <row r="43" customFormat="false" ht="18" hidden="false" customHeight="true" outlineLevel="0" collapsed="false">
      <c r="A43" s="4" t="n">
        <v>41</v>
      </c>
      <c r="B43" s="5" t="s">
        <v>98</v>
      </c>
      <c r="C43" s="6" t="s">
        <v>99</v>
      </c>
      <c r="D43" s="6" t="s">
        <v>85</v>
      </c>
      <c r="E43" s="7" t="n">
        <v>0</v>
      </c>
      <c r="F43" s="16" t="s">
        <v>86</v>
      </c>
      <c r="G43" s="9" t="s">
        <v>15</v>
      </c>
      <c r="H43" s="6"/>
      <c r="I43" s="7"/>
      <c r="J43" s="6"/>
    </row>
    <row r="44" customFormat="false" ht="18" hidden="false" customHeight="true" outlineLevel="0" collapsed="false">
      <c r="A44" s="10" t="n">
        <v>42</v>
      </c>
      <c r="B44" s="11" t="s">
        <v>100</v>
      </c>
      <c r="C44" s="12" t="s">
        <v>101</v>
      </c>
      <c r="D44" s="12" t="s">
        <v>85</v>
      </c>
      <c r="E44" s="13" t="n">
        <v>0</v>
      </c>
      <c r="F44" s="16" t="s">
        <v>86</v>
      </c>
      <c r="G44" s="14" t="s">
        <v>15</v>
      </c>
      <c r="H44" s="12"/>
      <c r="I44" s="13"/>
      <c r="J44" s="12"/>
    </row>
    <row r="45" customFormat="false" ht="18" hidden="false" customHeight="true" outlineLevel="0" collapsed="false">
      <c r="A45" s="4" t="n">
        <v>43</v>
      </c>
      <c r="B45" s="5" t="s">
        <v>102</v>
      </c>
      <c r="C45" s="6" t="s">
        <v>103</v>
      </c>
      <c r="D45" s="6" t="s">
        <v>85</v>
      </c>
      <c r="E45" s="7" t="n">
        <v>0</v>
      </c>
      <c r="F45" s="16" t="s">
        <v>86</v>
      </c>
      <c r="G45" s="9" t="s">
        <v>15</v>
      </c>
      <c r="H45" s="6"/>
      <c r="I45" s="7"/>
      <c r="J45" s="6"/>
    </row>
    <row r="46" customFormat="false" ht="18" hidden="false" customHeight="true" outlineLevel="0" collapsed="false">
      <c r="A46" s="10" t="n">
        <v>44</v>
      </c>
      <c r="B46" s="11" t="s">
        <v>104</v>
      </c>
      <c r="C46" s="12" t="s">
        <v>105</v>
      </c>
      <c r="D46" s="12" t="s">
        <v>85</v>
      </c>
      <c r="E46" s="13" t="n">
        <v>95</v>
      </c>
      <c r="F46" s="16" t="s">
        <v>86</v>
      </c>
      <c r="G46" s="14" t="s">
        <v>15</v>
      </c>
      <c r="H46" s="12"/>
      <c r="I46" s="13"/>
      <c r="J46" s="12"/>
    </row>
    <row r="47" customFormat="false" ht="18" hidden="false" customHeight="true" outlineLevel="0" collapsed="false">
      <c r="A47" s="4" t="n">
        <v>45</v>
      </c>
      <c r="B47" s="5" t="s">
        <v>106</v>
      </c>
      <c r="C47" s="6" t="s">
        <v>107</v>
      </c>
      <c r="D47" s="6" t="s">
        <v>85</v>
      </c>
      <c r="E47" s="7" t="n">
        <v>550</v>
      </c>
      <c r="F47" s="16" t="s">
        <v>86</v>
      </c>
      <c r="G47" s="9" t="s">
        <v>15</v>
      </c>
      <c r="H47" s="6"/>
      <c r="I47" s="7"/>
      <c r="J47" s="6"/>
    </row>
    <row r="48" customFormat="false" ht="18" hidden="false" customHeight="true" outlineLevel="0" collapsed="false">
      <c r="A48" s="10" t="n">
        <v>46</v>
      </c>
      <c r="B48" s="11" t="s">
        <v>108</v>
      </c>
      <c r="C48" s="12" t="s">
        <v>109</v>
      </c>
      <c r="D48" s="12" t="s">
        <v>85</v>
      </c>
      <c r="E48" s="13" t="n">
        <v>0</v>
      </c>
      <c r="F48" s="16" t="s">
        <v>86</v>
      </c>
      <c r="G48" s="14" t="s">
        <v>15</v>
      </c>
      <c r="H48" s="12"/>
      <c r="I48" s="13"/>
      <c r="J48" s="12"/>
    </row>
    <row r="49" customFormat="false" ht="18" hidden="false" customHeight="true" outlineLevel="0" collapsed="false">
      <c r="A49" s="4" t="n">
        <v>47</v>
      </c>
      <c r="B49" s="5" t="s">
        <v>110</v>
      </c>
      <c r="C49" s="6" t="s">
        <v>111</v>
      </c>
      <c r="D49" s="6" t="s">
        <v>85</v>
      </c>
      <c r="E49" s="7" t="n">
        <v>0</v>
      </c>
      <c r="F49" s="16" t="s">
        <v>86</v>
      </c>
      <c r="G49" s="9" t="s">
        <v>15</v>
      </c>
      <c r="H49" s="6"/>
      <c r="I49" s="7"/>
      <c r="J49" s="6"/>
    </row>
    <row r="50" customFormat="false" ht="18" hidden="false" customHeight="true" outlineLevel="0" collapsed="false">
      <c r="A50" s="10" t="n">
        <v>48</v>
      </c>
      <c r="B50" s="11" t="s">
        <v>112</v>
      </c>
      <c r="C50" s="12" t="s">
        <v>113</v>
      </c>
      <c r="D50" s="12" t="s">
        <v>85</v>
      </c>
      <c r="E50" s="13" t="n">
        <v>0</v>
      </c>
      <c r="F50" s="16" t="s">
        <v>86</v>
      </c>
      <c r="G50" s="14" t="s">
        <v>15</v>
      </c>
      <c r="H50" s="12"/>
      <c r="I50" s="13"/>
      <c r="J50" s="12"/>
    </row>
    <row r="51" customFormat="false" ht="18" hidden="false" customHeight="true" outlineLevel="0" collapsed="false">
      <c r="A51" s="4" t="n">
        <v>49</v>
      </c>
      <c r="B51" s="5" t="s">
        <v>114</v>
      </c>
      <c r="C51" s="6" t="s">
        <v>115</v>
      </c>
      <c r="D51" s="6" t="s">
        <v>85</v>
      </c>
      <c r="E51" s="7" t="n">
        <v>79</v>
      </c>
      <c r="F51" s="16" t="s">
        <v>86</v>
      </c>
      <c r="G51" s="9" t="s">
        <v>15</v>
      </c>
      <c r="H51" s="6"/>
      <c r="I51" s="7"/>
      <c r="J51" s="6"/>
    </row>
    <row r="52" customFormat="false" ht="18" hidden="false" customHeight="true" outlineLevel="0" collapsed="false">
      <c r="A52" s="10" t="n">
        <v>50</v>
      </c>
      <c r="B52" s="11" t="s">
        <v>116</v>
      </c>
      <c r="C52" s="12" t="s">
        <v>117</v>
      </c>
      <c r="D52" s="12" t="s">
        <v>118</v>
      </c>
      <c r="E52" s="13" t="n">
        <v>0</v>
      </c>
      <c r="F52" s="17" t="s">
        <v>119</v>
      </c>
      <c r="G52" s="14" t="s">
        <v>15</v>
      </c>
      <c r="H52" s="12"/>
      <c r="I52" s="13"/>
      <c r="J52" s="12"/>
    </row>
    <row r="53" customFormat="false" ht="18" hidden="false" customHeight="true" outlineLevel="0" collapsed="false">
      <c r="A53" s="4" t="n">
        <v>51</v>
      </c>
      <c r="B53" s="5" t="s">
        <v>120</v>
      </c>
      <c r="C53" s="6" t="s">
        <v>121</v>
      </c>
      <c r="D53" s="6" t="s">
        <v>118</v>
      </c>
      <c r="E53" s="7" t="n">
        <v>0</v>
      </c>
      <c r="F53" s="17" t="s">
        <v>119</v>
      </c>
      <c r="G53" s="9" t="s">
        <v>15</v>
      </c>
      <c r="H53" s="6"/>
      <c r="I53" s="7"/>
      <c r="J53" s="6"/>
    </row>
    <row r="54" customFormat="false" ht="18" hidden="false" customHeight="true" outlineLevel="0" collapsed="false">
      <c r="A54" s="10" t="n">
        <v>52</v>
      </c>
      <c r="B54" s="11" t="s">
        <v>122</v>
      </c>
      <c r="C54" s="12" t="s">
        <v>123</v>
      </c>
      <c r="D54" s="12" t="s">
        <v>118</v>
      </c>
      <c r="E54" s="13" t="n">
        <v>0</v>
      </c>
      <c r="F54" s="17" t="s">
        <v>119</v>
      </c>
      <c r="G54" s="14" t="s">
        <v>15</v>
      </c>
      <c r="H54" s="12"/>
      <c r="I54" s="13"/>
      <c r="J54" s="12"/>
    </row>
    <row r="55" customFormat="false" ht="18" hidden="false" customHeight="true" outlineLevel="0" collapsed="false">
      <c r="A55" s="4" t="n">
        <v>53</v>
      </c>
      <c r="B55" s="5" t="s">
        <v>124</v>
      </c>
      <c r="C55" s="6" t="s">
        <v>125</v>
      </c>
      <c r="D55" s="6" t="s">
        <v>118</v>
      </c>
      <c r="E55" s="7" t="n">
        <v>0</v>
      </c>
      <c r="F55" s="17" t="s">
        <v>119</v>
      </c>
      <c r="G55" s="9" t="s">
        <v>15</v>
      </c>
      <c r="H55" s="6"/>
      <c r="I55" s="7"/>
      <c r="J55" s="6"/>
    </row>
    <row r="56" customFormat="false" ht="18" hidden="false" customHeight="true" outlineLevel="0" collapsed="false">
      <c r="A56" s="10" t="n">
        <v>54</v>
      </c>
      <c r="B56" s="11" t="s">
        <v>126</v>
      </c>
      <c r="C56" s="12" t="s">
        <v>127</v>
      </c>
      <c r="D56" s="12" t="s">
        <v>118</v>
      </c>
      <c r="E56" s="13" t="n">
        <v>0</v>
      </c>
      <c r="F56" s="17" t="s">
        <v>119</v>
      </c>
      <c r="G56" s="14" t="s">
        <v>15</v>
      </c>
      <c r="H56" s="12"/>
      <c r="I56" s="13"/>
      <c r="J56" s="12"/>
    </row>
    <row r="57" customFormat="false" ht="18" hidden="false" customHeight="true" outlineLevel="0" collapsed="false">
      <c r="A57" s="4" t="n">
        <v>55</v>
      </c>
      <c r="B57" s="5" t="s">
        <v>128</v>
      </c>
      <c r="C57" s="6" t="s">
        <v>129</v>
      </c>
      <c r="D57" s="6" t="s">
        <v>118</v>
      </c>
      <c r="E57" s="7" t="n">
        <v>0</v>
      </c>
      <c r="F57" s="17" t="s">
        <v>119</v>
      </c>
      <c r="G57" s="9" t="s">
        <v>15</v>
      </c>
      <c r="H57" s="6"/>
      <c r="I57" s="7"/>
      <c r="J57" s="6"/>
    </row>
    <row r="58" customFormat="false" ht="18" hidden="false" customHeight="true" outlineLevel="0" collapsed="false">
      <c r="A58" s="10" t="n">
        <v>56</v>
      </c>
      <c r="B58" s="11" t="s">
        <v>130</v>
      </c>
      <c r="C58" s="12" t="s">
        <v>131</v>
      </c>
      <c r="D58" s="12" t="s">
        <v>118</v>
      </c>
      <c r="E58" s="13" t="n">
        <v>499</v>
      </c>
      <c r="F58" s="17" t="s">
        <v>119</v>
      </c>
      <c r="G58" s="14" t="s">
        <v>15</v>
      </c>
      <c r="H58" s="12"/>
      <c r="I58" s="13"/>
      <c r="J58" s="12"/>
    </row>
    <row r="59" customFormat="false" ht="18" hidden="false" customHeight="true" outlineLevel="0" collapsed="false">
      <c r="A59" s="4" t="n">
        <v>57</v>
      </c>
      <c r="B59" s="5" t="s">
        <v>132</v>
      </c>
      <c r="C59" s="6" t="s">
        <v>133</v>
      </c>
      <c r="D59" s="6" t="s">
        <v>118</v>
      </c>
      <c r="E59" s="7" t="n">
        <v>89</v>
      </c>
      <c r="F59" s="17" t="s">
        <v>119</v>
      </c>
      <c r="G59" s="9" t="s">
        <v>15</v>
      </c>
      <c r="H59" s="6"/>
      <c r="I59" s="7"/>
      <c r="J59" s="6"/>
    </row>
    <row r="60" customFormat="false" ht="18" hidden="false" customHeight="true" outlineLevel="0" collapsed="false">
      <c r="A60" s="10" t="n">
        <v>58</v>
      </c>
      <c r="B60" s="11" t="s">
        <v>134</v>
      </c>
      <c r="C60" s="12" t="s">
        <v>135</v>
      </c>
      <c r="D60" s="12" t="s">
        <v>118</v>
      </c>
      <c r="E60" s="13" t="n">
        <v>0</v>
      </c>
      <c r="F60" s="17" t="s">
        <v>119</v>
      </c>
      <c r="G60" s="14" t="s">
        <v>15</v>
      </c>
      <c r="H60" s="12"/>
      <c r="I60" s="13"/>
      <c r="J60" s="12"/>
    </row>
    <row r="61" customFormat="false" ht="18" hidden="false" customHeight="true" outlineLevel="0" collapsed="false">
      <c r="A61" s="4" t="n">
        <v>59</v>
      </c>
      <c r="B61" s="5" t="s">
        <v>136</v>
      </c>
      <c r="C61" s="6" t="s">
        <v>137</v>
      </c>
      <c r="D61" s="6" t="s">
        <v>118</v>
      </c>
      <c r="E61" s="7" t="n">
        <v>99</v>
      </c>
      <c r="F61" s="17" t="s">
        <v>119</v>
      </c>
      <c r="G61" s="9" t="s">
        <v>15</v>
      </c>
      <c r="H61" s="6"/>
      <c r="I61" s="7"/>
      <c r="J61" s="6"/>
    </row>
    <row r="62" customFormat="false" ht="18" hidden="false" customHeight="true" outlineLevel="0" collapsed="false">
      <c r="A62" s="10" t="n">
        <v>60</v>
      </c>
      <c r="B62" s="11" t="s">
        <v>138</v>
      </c>
      <c r="C62" s="12" t="s">
        <v>139</v>
      </c>
      <c r="D62" s="12" t="s">
        <v>118</v>
      </c>
      <c r="E62" s="13" t="n">
        <v>99</v>
      </c>
      <c r="F62" s="17" t="s">
        <v>119</v>
      </c>
      <c r="G62" s="14" t="s">
        <v>15</v>
      </c>
      <c r="H62" s="12"/>
      <c r="I62" s="13"/>
      <c r="J62" s="12"/>
    </row>
    <row r="63" customFormat="false" ht="18" hidden="false" customHeight="true" outlineLevel="0" collapsed="false">
      <c r="A63" s="4" t="n">
        <v>61</v>
      </c>
      <c r="B63" s="5" t="s">
        <v>140</v>
      </c>
      <c r="C63" s="6" t="s">
        <v>141</v>
      </c>
      <c r="D63" s="6" t="s">
        <v>118</v>
      </c>
      <c r="E63" s="7" t="n">
        <v>0</v>
      </c>
      <c r="F63" s="17" t="s">
        <v>119</v>
      </c>
      <c r="G63" s="9" t="s">
        <v>15</v>
      </c>
      <c r="H63" s="6"/>
      <c r="I63" s="7"/>
      <c r="J63" s="6"/>
    </row>
    <row r="64" customFormat="false" ht="18" hidden="false" customHeight="true" outlineLevel="0" collapsed="false">
      <c r="A64" s="10" t="n">
        <v>62</v>
      </c>
      <c r="B64" s="11" t="s">
        <v>142</v>
      </c>
      <c r="C64" s="12" t="s">
        <v>143</v>
      </c>
      <c r="D64" s="12" t="s">
        <v>118</v>
      </c>
      <c r="E64" s="13" t="n">
        <v>99</v>
      </c>
      <c r="F64" s="17" t="s">
        <v>119</v>
      </c>
      <c r="G64" s="14" t="s">
        <v>15</v>
      </c>
      <c r="H64" s="12"/>
      <c r="I64" s="13"/>
      <c r="J64" s="12"/>
    </row>
    <row r="65" customFormat="false" ht="18" hidden="false" customHeight="true" outlineLevel="0" collapsed="false">
      <c r="A65" s="4" t="n">
        <v>63</v>
      </c>
      <c r="B65" s="5" t="s">
        <v>144</v>
      </c>
      <c r="C65" s="6" t="s">
        <v>145</v>
      </c>
      <c r="D65" s="6" t="s">
        <v>118</v>
      </c>
      <c r="E65" s="7" t="n">
        <v>699</v>
      </c>
      <c r="F65" s="17" t="s">
        <v>119</v>
      </c>
      <c r="G65" s="9" t="s">
        <v>15</v>
      </c>
      <c r="H65" s="6"/>
      <c r="I65" s="7"/>
      <c r="J65" s="6"/>
    </row>
    <row r="66" customFormat="false" ht="18" hidden="false" customHeight="true" outlineLevel="0" collapsed="false">
      <c r="A66" s="10" t="n">
        <v>64</v>
      </c>
      <c r="B66" s="11" t="s">
        <v>146</v>
      </c>
      <c r="C66" s="12" t="s">
        <v>147</v>
      </c>
      <c r="D66" s="12" t="s">
        <v>118</v>
      </c>
      <c r="E66" s="13" t="n">
        <v>1199</v>
      </c>
      <c r="F66" s="17" t="s">
        <v>119</v>
      </c>
      <c r="G66" s="14" t="s">
        <v>15</v>
      </c>
      <c r="H66" s="12"/>
      <c r="I66" s="13"/>
      <c r="J66" s="12"/>
    </row>
    <row r="67" customFormat="false" ht="18" hidden="false" customHeight="true" outlineLevel="0" collapsed="false">
      <c r="A67" s="4" t="n">
        <v>65</v>
      </c>
      <c r="B67" s="5" t="s">
        <v>148</v>
      </c>
      <c r="C67" s="6" t="s">
        <v>149</v>
      </c>
      <c r="D67" s="6" t="s">
        <v>118</v>
      </c>
      <c r="E67" s="7" t="n">
        <v>299</v>
      </c>
      <c r="F67" s="17" t="s">
        <v>119</v>
      </c>
      <c r="G67" s="9" t="s">
        <v>15</v>
      </c>
      <c r="H67" s="6"/>
      <c r="I67" s="7"/>
      <c r="J67" s="6"/>
    </row>
    <row r="68" customFormat="false" ht="18" hidden="false" customHeight="true" outlineLevel="0" collapsed="false">
      <c r="A68" s="10" t="n">
        <v>66</v>
      </c>
      <c r="B68" s="11" t="s">
        <v>150</v>
      </c>
      <c r="C68" s="12" t="s">
        <v>151</v>
      </c>
      <c r="D68" s="12" t="s">
        <v>118</v>
      </c>
      <c r="E68" s="13" t="n">
        <v>0</v>
      </c>
      <c r="F68" s="17" t="s">
        <v>119</v>
      </c>
      <c r="G68" s="14" t="s">
        <v>15</v>
      </c>
      <c r="H68" s="12"/>
      <c r="I68" s="13"/>
      <c r="J68" s="12"/>
    </row>
    <row r="69" customFormat="false" ht="18" hidden="false" customHeight="true" outlineLevel="0" collapsed="false">
      <c r="A69" s="4" t="n">
        <v>67</v>
      </c>
      <c r="B69" s="5" t="s">
        <v>152</v>
      </c>
      <c r="C69" s="6" t="s">
        <v>153</v>
      </c>
      <c r="D69" s="6" t="s">
        <v>118</v>
      </c>
      <c r="E69" s="7" t="n">
        <v>0</v>
      </c>
      <c r="F69" s="17" t="s">
        <v>119</v>
      </c>
      <c r="G69" s="9" t="s">
        <v>15</v>
      </c>
      <c r="H69" s="6"/>
      <c r="I69" s="7"/>
      <c r="J69" s="6"/>
    </row>
    <row r="70" customFormat="false" ht="18" hidden="false" customHeight="true" outlineLevel="0" collapsed="false">
      <c r="A70" s="10" t="n">
        <v>68</v>
      </c>
      <c r="B70" s="11" t="s">
        <v>154</v>
      </c>
      <c r="C70" s="12" t="s">
        <v>155</v>
      </c>
      <c r="D70" s="12" t="s">
        <v>118</v>
      </c>
      <c r="E70" s="13" t="n">
        <v>99</v>
      </c>
      <c r="F70" s="17" t="s">
        <v>119</v>
      </c>
      <c r="G70" s="14" t="s">
        <v>15</v>
      </c>
      <c r="H70" s="12"/>
      <c r="I70" s="13"/>
      <c r="J70" s="12"/>
    </row>
    <row r="71" customFormat="false" ht="18" hidden="false" customHeight="true" outlineLevel="0" collapsed="false">
      <c r="A71" s="4" t="n">
        <v>69</v>
      </c>
      <c r="B71" s="5" t="s">
        <v>156</v>
      </c>
      <c r="C71" s="6" t="s">
        <v>157</v>
      </c>
      <c r="D71" s="6" t="s">
        <v>118</v>
      </c>
      <c r="E71" s="7" t="n">
        <v>0</v>
      </c>
      <c r="F71" s="17" t="s">
        <v>119</v>
      </c>
      <c r="G71" s="9" t="s">
        <v>15</v>
      </c>
      <c r="H71" s="6"/>
      <c r="I71" s="7"/>
      <c r="J71" s="6"/>
    </row>
    <row r="72" customFormat="false" ht="18" hidden="false" customHeight="true" outlineLevel="0" collapsed="false">
      <c r="A72" s="10" t="n">
        <v>70</v>
      </c>
      <c r="B72" s="11" t="s">
        <v>158</v>
      </c>
      <c r="C72" s="12" t="s">
        <v>159</v>
      </c>
      <c r="D72" s="12" t="s">
        <v>118</v>
      </c>
      <c r="E72" s="13" t="n">
        <v>75</v>
      </c>
      <c r="F72" s="17" t="s">
        <v>119</v>
      </c>
      <c r="G72" s="14" t="s">
        <v>15</v>
      </c>
      <c r="H72" s="12"/>
      <c r="I72" s="13"/>
      <c r="J72" s="12"/>
    </row>
    <row r="73" customFormat="false" ht="18" hidden="false" customHeight="true" outlineLevel="0" collapsed="false">
      <c r="A73" s="4" t="n">
        <v>71</v>
      </c>
      <c r="B73" s="5" t="s">
        <v>160</v>
      </c>
      <c r="C73" s="6" t="s">
        <v>161</v>
      </c>
      <c r="D73" s="6" t="s">
        <v>162</v>
      </c>
      <c r="E73" s="7" t="n">
        <v>0</v>
      </c>
      <c r="F73" s="15" t="s">
        <v>79</v>
      </c>
      <c r="G73" s="9" t="s">
        <v>15</v>
      </c>
      <c r="H73" s="6"/>
      <c r="I73" s="7"/>
      <c r="J73" s="6"/>
    </row>
    <row r="74" customFormat="false" ht="18" hidden="false" customHeight="true" outlineLevel="0" collapsed="false">
      <c r="A74" s="10" t="n">
        <v>72</v>
      </c>
      <c r="B74" s="11" t="s">
        <v>163</v>
      </c>
      <c r="C74" s="12" t="s">
        <v>164</v>
      </c>
      <c r="D74" s="12" t="s">
        <v>162</v>
      </c>
      <c r="E74" s="13" t="n">
        <v>95</v>
      </c>
      <c r="F74" s="15" t="s">
        <v>79</v>
      </c>
      <c r="G74" s="14" t="s">
        <v>15</v>
      </c>
      <c r="H74" s="12"/>
      <c r="I74" s="13"/>
      <c r="J74" s="12"/>
    </row>
    <row r="75" customFormat="false" ht="18" hidden="false" customHeight="true" outlineLevel="0" collapsed="false">
      <c r="A75" s="4" t="n">
        <v>73</v>
      </c>
      <c r="B75" s="5" t="s">
        <v>165</v>
      </c>
      <c r="C75" s="6" t="s">
        <v>166</v>
      </c>
      <c r="D75" s="6" t="s">
        <v>162</v>
      </c>
      <c r="E75" s="7" t="n">
        <v>495</v>
      </c>
      <c r="F75" s="15" t="s">
        <v>79</v>
      </c>
      <c r="G75" s="9" t="s">
        <v>15</v>
      </c>
      <c r="H75" s="6"/>
      <c r="I75" s="7"/>
      <c r="J75" s="6"/>
    </row>
    <row r="76" customFormat="false" ht="18" hidden="false" customHeight="true" outlineLevel="0" collapsed="false">
      <c r="A76" s="10" t="n">
        <v>74</v>
      </c>
      <c r="B76" s="11" t="s">
        <v>167</v>
      </c>
      <c r="C76" s="12" t="s">
        <v>168</v>
      </c>
      <c r="D76" s="12" t="s">
        <v>169</v>
      </c>
      <c r="E76" s="13" t="n">
        <v>0</v>
      </c>
      <c r="F76" s="15" t="s">
        <v>79</v>
      </c>
      <c r="G76" s="14" t="s">
        <v>15</v>
      </c>
      <c r="H76" s="12"/>
      <c r="I76" s="13"/>
      <c r="J76" s="12"/>
    </row>
    <row r="77" customFormat="false" ht="18" hidden="false" customHeight="true" outlineLevel="0" collapsed="false">
      <c r="A77" s="4" t="n">
        <v>75</v>
      </c>
      <c r="B77" s="5" t="s">
        <v>170</v>
      </c>
      <c r="C77" s="6" t="s">
        <v>171</v>
      </c>
      <c r="D77" s="6" t="s">
        <v>169</v>
      </c>
      <c r="E77" s="7" t="n">
        <v>0</v>
      </c>
      <c r="F77" s="15" t="s">
        <v>79</v>
      </c>
      <c r="G77" s="9" t="s">
        <v>15</v>
      </c>
      <c r="H77" s="6"/>
      <c r="I77" s="7"/>
      <c r="J77" s="6"/>
    </row>
    <row r="78" customFormat="false" ht="18" hidden="false" customHeight="true" outlineLevel="0" collapsed="false">
      <c r="A78" s="10" t="n">
        <v>76</v>
      </c>
      <c r="B78" s="11" t="s">
        <v>172</v>
      </c>
      <c r="C78" s="12" t="s">
        <v>173</v>
      </c>
      <c r="D78" s="12" t="s">
        <v>169</v>
      </c>
      <c r="E78" s="13" t="n">
        <v>0</v>
      </c>
      <c r="F78" s="15" t="s">
        <v>79</v>
      </c>
      <c r="G78" s="14" t="s">
        <v>15</v>
      </c>
      <c r="H78" s="12"/>
      <c r="I78" s="13"/>
      <c r="J78" s="12"/>
    </row>
    <row r="79" customFormat="false" ht="18" hidden="false" customHeight="true" outlineLevel="0" collapsed="false">
      <c r="A79" s="4" t="n">
        <v>77</v>
      </c>
      <c r="B79" s="5" t="s">
        <v>174</v>
      </c>
      <c r="C79" s="6" t="s">
        <v>175</v>
      </c>
      <c r="D79" s="6" t="s">
        <v>169</v>
      </c>
      <c r="E79" s="7" t="n">
        <v>0</v>
      </c>
      <c r="F79" s="15" t="s">
        <v>79</v>
      </c>
      <c r="G79" s="9" t="s">
        <v>15</v>
      </c>
      <c r="H79" s="6"/>
      <c r="I79" s="7"/>
      <c r="J79" s="6"/>
    </row>
    <row r="80" customFormat="false" ht="18" hidden="false" customHeight="true" outlineLevel="0" collapsed="false">
      <c r="A80" s="10" t="n">
        <v>78</v>
      </c>
      <c r="B80" s="11" t="s">
        <v>176</v>
      </c>
      <c r="C80" s="12" t="s">
        <v>177</v>
      </c>
      <c r="D80" s="12" t="s">
        <v>169</v>
      </c>
      <c r="E80" s="13" t="n">
        <v>0</v>
      </c>
      <c r="F80" s="15" t="s">
        <v>79</v>
      </c>
      <c r="G80" s="14" t="s">
        <v>15</v>
      </c>
      <c r="H80" s="12"/>
      <c r="I80" s="13"/>
      <c r="J80" s="12"/>
    </row>
    <row r="81" customFormat="false" ht="18" hidden="false" customHeight="true" outlineLevel="0" collapsed="false">
      <c r="A81" s="4" t="n">
        <v>79</v>
      </c>
      <c r="B81" s="5" t="s">
        <v>178</v>
      </c>
      <c r="C81" s="6" t="s">
        <v>179</v>
      </c>
      <c r="D81" s="6" t="s">
        <v>169</v>
      </c>
      <c r="E81" s="7" t="n">
        <v>0</v>
      </c>
      <c r="F81" s="15" t="s">
        <v>79</v>
      </c>
      <c r="G81" s="9" t="s">
        <v>15</v>
      </c>
      <c r="H81" s="6"/>
      <c r="I81" s="7"/>
      <c r="J81" s="6"/>
    </row>
    <row r="82" customFormat="false" ht="18" hidden="false" customHeight="true" outlineLevel="0" collapsed="false">
      <c r="A82" s="10" t="n">
        <v>80</v>
      </c>
      <c r="B82" s="11" t="s">
        <v>180</v>
      </c>
      <c r="C82" s="12" t="s">
        <v>181</v>
      </c>
      <c r="D82" s="12" t="s">
        <v>169</v>
      </c>
      <c r="E82" s="13" t="n">
        <v>0</v>
      </c>
      <c r="F82" s="15" t="s">
        <v>79</v>
      </c>
      <c r="G82" s="14" t="s">
        <v>15</v>
      </c>
      <c r="H82" s="12"/>
      <c r="I82" s="13"/>
      <c r="J82" s="12"/>
    </row>
    <row r="83" customFormat="false" ht="18" hidden="false" customHeight="true" outlineLevel="0" collapsed="false">
      <c r="A83" s="4" t="n">
        <v>81</v>
      </c>
      <c r="B83" s="5" t="s">
        <v>182</v>
      </c>
      <c r="C83" s="6" t="s">
        <v>183</v>
      </c>
      <c r="D83" s="6" t="s">
        <v>169</v>
      </c>
      <c r="E83" s="7" t="n">
        <v>0</v>
      </c>
      <c r="F83" s="15" t="s">
        <v>79</v>
      </c>
      <c r="G83" s="9" t="s">
        <v>15</v>
      </c>
      <c r="H83" s="6"/>
      <c r="I83" s="7"/>
      <c r="J83" s="6"/>
    </row>
    <row r="84" customFormat="false" ht="18" hidden="false" customHeight="true" outlineLevel="0" collapsed="false">
      <c r="A84" s="10" t="n">
        <v>82</v>
      </c>
      <c r="B84" s="11" t="s">
        <v>184</v>
      </c>
      <c r="C84" s="12" t="s">
        <v>185</v>
      </c>
      <c r="D84" s="12" t="s">
        <v>186</v>
      </c>
      <c r="E84" s="13" t="n">
        <v>0</v>
      </c>
      <c r="F84" s="15" t="s">
        <v>79</v>
      </c>
      <c r="G84" s="14" t="s">
        <v>15</v>
      </c>
      <c r="H84" s="12"/>
      <c r="I84" s="13"/>
      <c r="J84" s="12"/>
    </row>
    <row r="85" customFormat="false" ht="18" hidden="false" customHeight="true" outlineLevel="0" collapsed="false">
      <c r="A85" s="4" t="n">
        <v>83</v>
      </c>
      <c r="B85" s="5" t="s">
        <v>187</v>
      </c>
      <c r="C85" s="6" t="s">
        <v>188</v>
      </c>
      <c r="D85" s="6" t="s">
        <v>186</v>
      </c>
      <c r="E85" s="7" t="n">
        <v>35</v>
      </c>
      <c r="F85" s="15" t="s">
        <v>79</v>
      </c>
      <c r="G85" s="9" t="s">
        <v>15</v>
      </c>
      <c r="H85" s="6"/>
      <c r="I85" s="7"/>
      <c r="J85" s="6"/>
    </row>
    <row r="86" customFormat="false" ht="18" hidden="false" customHeight="true" outlineLevel="0" collapsed="false">
      <c r="A86" s="10" t="n">
        <v>84</v>
      </c>
      <c r="B86" s="11" t="s">
        <v>189</v>
      </c>
      <c r="C86" s="12" t="s">
        <v>190</v>
      </c>
      <c r="D86" s="12" t="s">
        <v>191</v>
      </c>
      <c r="E86" s="13" t="n">
        <v>0</v>
      </c>
      <c r="F86" s="16" t="s">
        <v>86</v>
      </c>
      <c r="G86" s="14" t="s">
        <v>15</v>
      </c>
      <c r="H86" s="12"/>
      <c r="I86" s="13"/>
      <c r="J86" s="12"/>
    </row>
    <row r="87" customFormat="false" ht="18" hidden="false" customHeight="true" outlineLevel="0" collapsed="false">
      <c r="A87" s="4" t="n">
        <v>85</v>
      </c>
      <c r="B87" s="5" t="s">
        <v>192</v>
      </c>
      <c r="C87" s="6" t="s">
        <v>193</v>
      </c>
      <c r="D87" s="6" t="s">
        <v>191</v>
      </c>
      <c r="E87" s="7" t="n">
        <v>0</v>
      </c>
      <c r="F87" s="16" t="s">
        <v>86</v>
      </c>
      <c r="G87" s="9" t="s">
        <v>15</v>
      </c>
      <c r="H87" s="6"/>
      <c r="I87" s="7"/>
      <c r="J87" s="6"/>
    </row>
    <row r="88" customFormat="false" ht="18" hidden="false" customHeight="true" outlineLevel="0" collapsed="false">
      <c r="A88" s="10" t="n">
        <v>86</v>
      </c>
      <c r="B88" s="11" t="s">
        <v>194</v>
      </c>
      <c r="C88" s="12" t="s">
        <v>195</v>
      </c>
      <c r="D88" s="12" t="s">
        <v>191</v>
      </c>
      <c r="E88" s="13" t="n">
        <v>0</v>
      </c>
      <c r="F88" s="16" t="s">
        <v>86</v>
      </c>
      <c r="G88" s="14" t="s">
        <v>15</v>
      </c>
      <c r="H88" s="12"/>
      <c r="I88" s="13"/>
      <c r="J88" s="12"/>
    </row>
    <row r="89" customFormat="false" ht="18" hidden="false" customHeight="true" outlineLevel="0" collapsed="false">
      <c r="A89" s="4" t="n">
        <v>87</v>
      </c>
      <c r="B89" s="5" t="s">
        <v>196</v>
      </c>
      <c r="C89" s="6" t="s">
        <v>197</v>
      </c>
      <c r="D89" s="6" t="s">
        <v>191</v>
      </c>
      <c r="E89" s="7" t="n">
        <v>0</v>
      </c>
      <c r="F89" s="16" t="s">
        <v>86</v>
      </c>
      <c r="G89" s="9" t="s">
        <v>15</v>
      </c>
      <c r="H89" s="6"/>
      <c r="I89" s="7"/>
      <c r="J89" s="6"/>
    </row>
    <row r="90" customFormat="false" ht="18" hidden="false" customHeight="true" outlineLevel="0" collapsed="false">
      <c r="A90" s="10" t="n">
        <v>88</v>
      </c>
      <c r="B90" s="11" t="s">
        <v>198</v>
      </c>
      <c r="C90" s="12" t="s">
        <v>199</v>
      </c>
      <c r="D90" s="12" t="s">
        <v>191</v>
      </c>
      <c r="E90" s="13" t="n">
        <v>0</v>
      </c>
      <c r="F90" s="16" t="s">
        <v>86</v>
      </c>
      <c r="G90" s="14" t="s">
        <v>15</v>
      </c>
      <c r="H90" s="12"/>
      <c r="I90" s="13"/>
      <c r="J90" s="12"/>
    </row>
    <row r="91" customFormat="false" ht="18" hidden="false" customHeight="true" outlineLevel="0" collapsed="false">
      <c r="A91" s="4" t="n">
        <v>89</v>
      </c>
      <c r="B91" s="5" t="s">
        <v>200</v>
      </c>
      <c r="C91" s="6" t="s">
        <v>201</v>
      </c>
      <c r="D91" s="6" t="s">
        <v>191</v>
      </c>
      <c r="E91" s="7" t="n">
        <v>39</v>
      </c>
      <c r="F91" s="16" t="s">
        <v>86</v>
      </c>
      <c r="G91" s="9" t="s">
        <v>15</v>
      </c>
      <c r="H91" s="6"/>
      <c r="I91" s="7"/>
      <c r="J91" s="6"/>
    </row>
    <row r="92" customFormat="false" ht="18" hidden="false" customHeight="true" outlineLevel="0" collapsed="false">
      <c r="A92" s="10" t="n">
        <v>90</v>
      </c>
      <c r="B92" s="11" t="s">
        <v>202</v>
      </c>
      <c r="C92" s="12" t="s">
        <v>203</v>
      </c>
      <c r="D92" s="12" t="s">
        <v>191</v>
      </c>
      <c r="E92" s="13" t="n">
        <v>0</v>
      </c>
      <c r="F92" s="16" t="s">
        <v>86</v>
      </c>
      <c r="G92" s="14" t="s">
        <v>15</v>
      </c>
      <c r="H92" s="12"/>
      <c r="I92" s="13"/>
      <c r="J92" s="12"/>
    </row>
    <row r="93" customFormat="false" ht="18" hidden="false" customHeight="true" outlineLevel="0" collapsed="false">
      <c r="A93" s="4" t="n">
        <v>91</v>
      </c>
      <c r="B93" s="5" t="s">
        <v>204</v>
      </c>
      <c r="C93" s="6" t="s">
        <v>205</v>
      </c>
      <c r="D93" s="6" t="s">
        <v>191</v>
      </c>
      <c r="E93" s="7" t="n">
        <v>0</v>
      </c>
      <c r="F93" s="16" t="s">
        <v>86</v>
      </c>
      <c r="G93" s="9" t="s">
        <v>15</v>
      </c>
      <c r="H93" s="6"/>
      <c r="I93" s="7"/>
      <c r="J93" s="6"/>
    </row>
    <row r="94" customFormat="false" ht="18" hidden="false" customHeight="true" outlineLevel="0" collapsed="false">
      <c r="A94" s="10" t="n">
        <v>92</v>
      </c>
      <c r="B94" s="11" t="s">
        <v>206</v>
      </c>
      <c r="C94" s="12" t="s">
        <v>207</v>
      </c>
      <c r="D94" s="12" t="s">
        <v>191</v>
      </c>
      <c r="E94" s="13" t="n">
        <v>150</v>
      </c>
      <c r="F94" s="16" t="s">
        <v>86</v>
      </c>
      <c r="G94" s="14" t="s">
        <v>15</v>
      </c>
      <c r="H94" s="12"/>
      <c r="I94" s="13"/>
      <c r="J94" s="12"/>
    </row>
    <row r="95" customFormat="false" ht="18" hidden="false" customHeight="true" outlineLevel="0" collapsed="false">
      <c r="A95" s="4" t="n">
        <v>93</v>
      </c>
      <c r="B95" s="5" t="s">
        <v>208</v>
      </c>
      <c r="C95" s="6" t="s">
        <v>209</v>
      </c>
      <c r="D95" s="6" t="s">
        <v>191</v>
      </c>
      <c r="E95" s="7" t="n">
        <v>0</v>
      </c>
      <c r="F95" s="16" t="s">
        <v>86</v>
      </c>
      <c r="G95" s="9" t="s">
        <v>15</v>
      </c>
      <c r="H95" s="6"/>
      <c r="I95" s="7"/>
      <c r="J95" s="6"/>
    </row>
    <row r="96" customFormat="false" ht="18" hidden="false" customHeight="true" outlineLevel="0" collapsed="false">
      <c r="A96" s="10" t="n">
        <v>94</v>
      </c>
      <c r="B96" s="11" t="s">
        <v>210</v>
      </c>
      <c r="C96" s="12" t="s">
        <v>211</v>
      </c>
      <c r="D96" s="12" t="s">
        <v>191</v>
      </c>
      <c r="E96" s="13" t="n">
        <v>95</v>
      </c>
      <c r="F96" s="16" t="s">
        <v>86</v>
      </c>
      <c r="G96" s="14" t="s">
        <v>15</v>
      </c>
      <c r="H96" s="12"/>
      <c r="I96" s="13"/>
      <c r="J96" s="12"/>
    </row>
    <row r="97" customFormat="false" ht="18" hidden="false" customHeight="true" outlineLevel="0" collapsed="false">
      <c r="A97" s="4" t="n">
        <v>95</v>
      </c>
      <c r="B97" s="5" t="s">
        <v>212</v>
      </c>
      <c r="C97" s="6" t="s">
        <v>213</v>
      </c>
      <c r="D97" s="6" t="s">
        <v>191</v>
      </c>
      <c r="E97" s="7" t="n">
        <v>0</v>
      </c>
      <c r="F97" s="16" t="s">
        <v>86</v>
      </c>
      <c r="G97" s="9" t="s">
        <v>15</v>
      </c>
      <c r="H97" s="6"/>
      <c r="I97" s="7"/>
      <c r="J97" s="6"/>
    </row>
    <row r="98" customFormat="false" ht="18" hidden="false" customHeight="true" outlineLevel="0" collapsed="false">
      <c r="A98" s="10" t="n">
        <v>96</v>
      </c>
      <c r="B98" s="11" t="s">
        <v>214</v>
      </c>
      <c r="C98" s="12" t="s">
        <v>215</v>
      </c>
      <c r="D98" s="12" t="s">
        <v>191</v>
      </c>
      <c r="E98" s="13" t="n">
        <v>95</v>
      </c>
      <c r="F98" s="16" t="s">
        <v>86</v>
      </c>
      <c r="G98" s="14" t="s">
        <v>15</v>
      </c>
      <c r="H98" s="12"/>
      <c r="I98" s="13"/>
      <c r="J98" s="12"/>
    </row>
    <row r="99" customFormat="false" ht="18" hidden="false" customHeight="true" outlineLevel="0" collapsed="false">
      <c r="A99" s="4" t="n">
        <v>97</v>
      </c>
      <c r="B99" s="5" t="s">
        <v>216</v>
      </c>
      <c r="C99" s="6" t="s">
        <v>217</v>
      </c>
      <c r="D99" s="6" t="s">
        <v>191</v>
      </c>
      <c r="E99" s="7" t="n">
        <v>395</v>
      </c>
      <c r="F99" s="16" t="s">
        <v>86</v>
      </c>
      <c r="G99" s="9" t="s">
        <v>15</v>
      </c>
      <c r="H99" s="6"/>
      <c r="I99" s="7"/>
      <c r="J99" s="6"/>
    </row>
    <row r="100" customFormat="false" ht="18" hidden="false" customHeight="true" outlineLevel="0" collapsed="false">
      <c r="A100" s="10" t="n">
        <v>98</v>
      </c>
      <c r="B100" s="11" t="s">
        <v>218</v>
      </c>
      <c r="C100" s="12" t="s">
        <v>219</v>
      </c>
      <c r="D100" s="12" t="s">
        <v>191</v>
      </c>
      <c r="E100" s="13" t="n">
        <v>395</v>
      </c>
      <c r="F100" s="16" t="s">
        <v>86</v>
      </c>
      <c r="G100" s="14" t="s">
        <v>15</v>
      </c>
      <c r="H100" s="12"/>
      <c r="I100" s="13"/>
      <c r="J100" s="12"/>
    </row>
    <row r="101" customFormat="false" ht="18" hidden="false" customHeight="true" outlineLevel="0" collapsed="false">
      <c r="A101" s="4" t="n">
        <v>99</v>
      </c>
      <c r="B101" s="5" t="s">
        <v>220</v>
      </c>
      <c r="C101" s="6" t="s">
        <v>221</v>
      </c>
      <c r="D101" s="6" t="s">
        <v>191</v>
      </c>
      <c r="E101" s="7" t="n">
        <v>0</v>
      </c>
      <c r="F101" s="16" t="s">
        <v>86</v>
      </c>
      <c r="G101" s="9" t="s">
        <v>15</v>
      </c>
      <c r="H101" s="6"/>
      <c r="I101" s="7"/>
      <c r="J101" s="6"/>
    </row>
    <row r="102" customFormat="false" ht="18" hidden="false" customHeight="true" outlineLevel="0" collapsed="false">
      <c r="A102" s="10" t="n">
        <v>100</v>
      </c>
      <c r="B102" s="11" t="s">
        <v>222</v>
      </c>
      <c r="C102" s="12" t="s">
        <v>223</v>
      </c>
      <c r="D102" s="12" t="s">
        <v>191</v>
      </c>
      <c r="E102" s="13" t="n">
        <v>0</v>
      </c>
      <c r="F102" s="16" t="s">
        <v>86</v>
      </c>
      <c r="G102" s="14" t="s">
        <v>15</v>
      </c>
      <c r="H102" s="12"/>
      <c r="I102" s="13"/>
      <c r="J102" s="12"/>
    </row>
    <row r="103" customFormat="false" ht="18" hidden="false" customHeight="true" outlineLevel="0" collapsed="false">
      <c r="A103" s="4" t="n">
        <v>101</v>
      </c>
      <c r="B103" s="5" t="s">
        <v>224</v>
      </c>
      <c r="C103" s="6" t="s">
        <v>225</v>
      </c>
      <c r="D103" s="6" t="s">
        <v>191</v>
      </c>
      <c r="E103" s="7" t="n">
        <v>0</v>
      </c>
      <c r="F103" s="16" t="s">
        <v>86</v>
      </c>
      <c r="G103" s="9" t="s">
        <v>15</v>
      </c>
      <c r="H103" s="6"/>
      <c r="I103" s="7"/>
      <c r="J103" s="6"/>
    </row>
    <row r="104" customFormat="false" ht="18" hidden="false" customHeight="true" outlineLevel="0" collapsed="false">
      <c r="A104" s="10" t="n">
        <v>102</v>
      </c>
      <c r="B104" s="11" t="s">
        <v>226</v>
      </c>
      <c r="C104" s="12" t="s">
        <v>227</v>
      </c>
      <c r="D104" s="12" t="s">
        <v>228</v>
      </c>
      <c r="E104" s="13" t="n">
        <v>95</v>
      </c>
      <c r="F104" s="8" t="s">
        <v>14</v>
      </c>
      <c r="G104" s="14" t="s">
        <v>15</v>
      </c>
      <c r="H104" s="12"/>
      <c r="I104" s="13"/>
      <c r="J104" s="12"/>
    </row>
    <row r="105" customFormat="false" ht="18" hidden="false" customHeight="true" outlineLevel="0" collapsed="false">
      <c r="A105" s="4" t="n">
        <v>103</v>
      </c>
      <c r="B105" s="5" t="s">
        <v>229</v>
      </c>
      <c r="C105" s="6" t="s">
        <v>17</v>
      </c>
      <c r="D105" s="6" t="s">
        <v>228</v>
      </c>
      <c r="E105" s="7" t="n">
        <v>0</v>
      </c>
      <c r="F105" s="8" t="s">
        <v>14</v>
      </c>
      <c r="G105" s="9" t="s">
        <v>15</v>
      </c>
      <c r="H105" s="6"/>
      <c r="I105" s="7"/>
      <c r="J105" s="6"/>
    </row>
    <row r="106" customFormat="false" ht="18" hidden="false" customHeight="true" outlineLevel="0" collapsed="false">
      <c r="A106" s="10" t="n">
        <v>104</v>
      </c>
      <c r="B106" s="11" t="s">
        <v>230</v>
      </c>
      <c r="C106" s="12" t="s">
        <v>231</v>
      </c>
      <c r="D106" s="12" t="s">
        <v>228</v>
      </c>
      <c r="E106" s="13" t="n">
        <v>0</v>
      </c>
      <c r="F106" s="8" t="s">
        <v>14</v>
      </c>
      <c r="G106" s="14" t="s">
        <v>15</v>
      </c>
      <c r="H106" s="12"/>
      <c r="I106" s="13"/>
      <c r="J106" s="12"/>
    </row>
    <row r="107" customFormat="false" ht="18" hidden="false" customHeight="true" outlineLevel="0" collapsed="false">
      <c r="A107" s="4" t="n">
        <v>105</v>
      </c>
      <c r="B107" s="5" t="s">
        <v>232</v>
      </c>
      <c r="C107" s="6" t="s">
        <v>233</v>
      </c>
      <c r="D107" s="6" t="s">
        <v>228</v>
      </c>
      <c r="E107" s="7" t="n">
        <v>0</v>
      </c>
      <c r="F107" s="8" t="s">
        <v>14</v>
      </c>
      <c r="G107" s="9" t="s">
        <v>15</v>
      </c>
      <c r="H107" s="6"/>
      <c r="I107" s="7"/>
      <c r="J107" s="6"/>
    </row>
    <row r="108" customFormat="false" ht="18" hidden="false" customHeight="true" outlineLevel="0" collapsed="false">
      <c r="A108" s="10" t="n">
        <v>106</v>
      </c>
      <c r="B108" s="11" t="s">
        <v>234</v>
      </c>
      <c r="C108" s="12" t="s">
        <v>235</v>
      </c>
      <c r="D108" s="12" t="s">
        <v>228</v>
      </c>
      <c r="E108" s="13" t="n">
        <v>95</v>
      </c>
      <c r="F108" s="8" t="s">
        <v>14</v>
      </c>
      <c r="G108" s="14" t="s">
        <v>15</v>
      </c>
      <c r="H108" s="12"/>
      <c r="I108" s="13"/>
      <c r="J108" s="12"/>
    </row>
    <row r="109" customFormat="false" ht="18" hidden="false" customHeight="true" outlineLevel="0" collapsed="false">
      <c r="A109" s="4" t="n">
        <v>107</v>
      </c>
      <c r="B109" s="5" t="s">
        <v>236</v>
      </c>
      <c r="C109" s="6" t="s">
        <v>237</v>
      </c>
      <c r="D109" s="6" t="s">
        <v>228</v>
      </c>
      <c r="E109" s="7" t="n">
        <v>0</v>
      </c>
      <c r="F109" s="8" t="s">
        <v>14</v>
      </c>
      <c r="G109" s="9" t="s">
        <v>15</v>
      </c>
      <c r="H109" s="6"/>
      <c r="I109" s="7"/>
      <c r="J109" s="6"/>
    </row>
    <row r="110" customFormat="false" ht="18" hidden="false" customHeight="true" outlineLevel="0" collapsed="false">
      <c r="A110" s="10" t="n">
        <v>108</v>
      </c>
      <c r="B110" s="11" t="s">
        <v>238</v>
      </c>
      <c r="C110" s="12" t="s">
        <v>239</v>
      </c>
      <c r="D110" s="12" t="s">
        <v>228</v>
      </c>
      <c r="E110" s="13" t="n">
        <v>0</v>
      </c>
      <c r="F110" s="8" t="s">
        <v>14</v>
      </c>
      <c r="G110" s="14" t="s">
        <v>15</v>
      </c>
      <c r="H110" s="12"/>
      <c r="I110" s="13"/>
      <c r="J110" s="12"/>
    </row>
    <row r="111" customFormat="false" ht="18" hidden="false" customHeight="true" outlineLevel="0" collapsed="false">
      <c r="A111" s="4" t="n">
        <v>109</v>
      </c>
      <c r="B111" s="5" t="s">
        <v>240</v>
      </c>
      <c r="C111" s="6" t="s">
        <v>241</v>
      </c>
      <c r="D111" s="6" t="s">
        <v>228</v>
      </c>
      <c r="E111" s="7" t="n">
        <v>0</v>
      </c>
      <c r="F111" s="8" t="s">
        <v>14</v>
      </c>
      <c r="G111" s="9" t="s">
        <v>15</v>
      </c>
      <c r="H111" s="6"/>
      <c r="I111" s="7"/>
      <c r="J111" s="6"/>
    </row>
    <row r="112" customFormat="false" ht="18" hidden="false" customHeight="true" outlineLevel="0" collapsed="false">
      <c r="A112" s="10" t="n">
        <v>110</v>
      </c>
      <c r="B112" s="11" t="s">
        <v>242</v>
      </c>
      <c r="C112" s="12" t="s">
        <v>243</v>
      </c>
      <c r="D112" s="12" t="s">
        <v>228</v>
      </c>
      <c r="E112" s="13" t="n">
        <v>95</v>
      </c>
      <c r="F112" s="8" t="s">
        <v>14</v>
      </c>
      <c r="G112" s="14" t="s">
        <v>15</v>
      </c>
      <c r="H112" s="12"/>
      <c r="I112" s="13"/>
      <c r="J112" s="12"/>
    </row>
    <row r="113" customFormat="false" ht="18" hidden="false" customHeight="true" outlineLevel="0" collapsed="false">
      <c r="A113" s="4" t="n">
        <v>111</v>
      </c>
      <c r="B113" s="5" t="s">
        <v>244</v>
      </c>
      <c r="C113" s="6" t="s">
        <v>245</v>
      </c>
      <c r="D113" s="6" t="s">
        <v>228</v>
      </c>
      <c r="E113" s="7" t="n">
        <v>795</v>
      </c>
      <c r="F113" s="8" t="s">
        <v>14</v>
      </c>
      <c r="G113" s="9" t="s">
        <v>15</v>
      </c>
      <c r="H113" s="6"/>
      <c r="I113" s="7"/>
      <c r="J113" s="6"/>
    </row>
    <row r="114" customFormat="false" ht="18" hidden="false" customHeight="true" outlineLevel="0" collapsed="false">
      <c r="A114" s="10" t="n">
        <v>112</v>
      </c>
      <c r="B114" s="11" t="s">
        <v>246</v>
      </c>
      <c r="C114" s="12" t="s">
        <v>247</v>
      </c>
      <c r="D114" s="12" t="s">
        <v>228</v>
      </c>
      <c r="E114" s="13" t="n">
        <v>0</v>
      </c>
      <c r="F114" s="8" t="s">
        <v>14</v>
      </c>
      <c r="G114" s="14" t="s">
        <v>15</v>
      </c>
      <c r="H114" s="12"/>
      <c r="I114" s="13"/>
      <c r="J114" s="12"/>
    </row>
    <row r="115" customFormat="false" ht="18" hidden="false" customHeight="true" outlineLevel="0" collapsed="false">
      <c r="A115" s="4" t="n">
        <v>113</v>
      </c>
      <c r="B115" s="5" t="s">
        <v>248</v>
      </c>
      <c r="C115" s="6" t="s">
        <v>249</v>
      </c>
      <c r="D115" s="6" t="s">
        <v>228</v>
      </c>
      <c r="E115" s="7" t="n">
        <v>49</v>
      </c>
      <c r="F115" s="8" t="s">
        <v>14</v>
      </c>
      <c r="G115" s="9" t="s">
        <v>15</v>
      </c>
      <c r="H115" s="6"/>
      <c r="I115" s="7"/>
      <c r="J115" s="6"/>
    </row>
    <row r="116" customFormat="false" ht="18" hidden="false" customHeight="true" outlineLevel="0" collapsed="false">
      <c r="A116" s="10" t="n">
        <v>114</v>
      </c>
      <c r="B116" s="11" t="s">
        <v>250</v>
      </c>
      <c r="C116" s="12" t="s">
        <v>251</v>
      </c>
      <c r="D116" s="12" t="s">
        <v>228</v>
      </c>
      <c r="E116" s="13" t="n">
        <v>0</v>
      </c>
      <c r="F116" s="8" t="s">
        <v>14</v>
      </c>
      <c r="G116" s="14" t="s">
        <v>15</v>
      </c>
      <c r="H116" s="12"/>
      <c r="I116" s="13"/>
      <c r="J116" s="12"/>
    </row>
    <row r="117" customFormat="false" ht="18" hidden="false" customHeight="true" outlineLevel="0" collapsed="false">
      <c r="A117" s="4" t="n">
        <v>115</v>
      </c>
      <c r="B117" s="5" t="s">
        <v>252</v>
      </c>
      <c r="C117" s="6" t="s">
        <v>253</v>
      </c>
      <c r="D117" s="6" t="s">
        <v>228</v>
      </c>
      <c r="E117" s="7" t="n">
        <v>0</v>
      </c>
      <c r="F117" s="8" t="s">
        <v>14</v>
      </c>
      <c r="G117" s="9" t="s">
        <v>15</v>
      </c>
      <c r="H117" s="6"/>
      <c r="I117" s="7"/>
      <c r="J117" s="6"/>
    </row>
    <row r="118" customFormat="false" ht="18" hidden="false" customHeight="true" outlineLevel="0" collapsed="false">
      <c r="A118" s="10" t="n">
        <v>116</v>
      </c>
      <c r="B118" s="11" t="s">
        <v>254</v>
      </c>
      <c r="C118" s="12" t="s">
        <v>255</v>
      </c>
      <c r="D118" s="12" t="s">
        <v>228</v>
      </c>
      <c r="E118" s="13" t="n">
        <v>95</v>
      </c>
      <c r="F118" s="8" t="s">
        <v>14</v>
      </c>
      <c r="G118" s="14" t="s">
        <v>15</v>
      </c>
      <c r="H118" s="12"/>
      <c r="I118" s="13"/>
      <c r="J118" s="12"/>
    </row>
    <row r="119" customFormat="false" ht="18" hidden="false" customHeight="true" outlineLevel="0" collapsed="false">
      <c r="A119" s="4" t="n">
        <v>117</v>
      </c>
      <c r="B119" s="5" t="s">
        <v>256</v>
      </c>
      <c r="C119" s="6" t="s">
        <v>257</v>
      </c>
      <c r="D119" s="6" t="s">
        <v>228</v>
      </c>
      <c r="E119" s="7" t="n">
        <v>99</v>
      </c>
      <c r="F119" s="8" t="s">
        <v>14</v>
      </c>
      <c r="G119" s="9" t="s">
        <v>15</v>
      </c>
      <c r="H119" s="6"/>
      <c r="I119" s="7"/>
      <c r="J119" s="6"/>
    </row>
    <row r="120" customFormat="false" ht="18" hidden="false" customHeight="true" outlineLevel="0" collapsed="false">
      <c r="A120" s="10" t="n">
        <v>118</v>
      </c>
      <c r="B120" s="11" t="s">
        <v>258</v>
      </c>
      <c r="C120" s="12" t="s">
        <v>259</v>
      </c>
      <c r="D120" s="12" t="s">
        <v>228</v>
      </c>
      <c r="E120" s="13" t="n">
        <v>99</v>
      </c>
      <c r="F120" s="8" t="s">
        <v>14</v>
      </c>
      <c r="G120" s="14" t="s">
        <v>15</v>
      </c>
      <c r="H120" s="12"/>
      <c r="I120" s="13"/>
      <c r="J120" s="12"/>
    </row>
    <row r="121" customFormat="false" ht="18" hidden="false" customHeight="true" outlineLevel="0" collapsed="false">
      <c r="A121" s="4" t="n">
        <v>119</v>
      </c>
      <c r="B121" s="5" t="s">
        <v>260</v>
      </c>
      <c r="C121" s="6" t="s">
        <v>261</v>
      </c>
      <c r="D121" s="6" t="s">
        <v>228</v>
      </c>
      <c r="E121" s="7" t="n">
        <v>0</v>
      </c>
      <c r="F121" s="8" t="s">
        <v>14</v>
      </c>
      <c r="G121" s="9" t="s">
        <v>15</v>
      </c>
      <c r="H121" s="6"/>
      <c r="I121" s="7"/>
      <c r="J121" s="6"/>
    </row>
    <row r="122" customFormat="false" ht="18" hidden="false" customHeight="true" outlineLevel="0" collapsed="false">
      <c r="A122" s="10" t="n">
        <v>120</v>
      </c>
      <c r="B122" s="11" t="s">
        <v>262</v>
      </c>
      <c r="C122" s="12" t="s">
        <v>263</v>
      </c>
      <c r="D122" s="12" t="s">
        <v>228</v>
      </c>
      <c r="E122" s="13" t="n">
        <v>0</v>
      </c>
      <c r="F122" s="8" t="s">
        <v>14</v>
      </c>
      <c r="G122" s="14" t="s">
        <v>15</v>
      </c>
      <c r="H122" s="12"/>
      <c r="I122" s="13"/>
      <c r="J122" s="12"/>
    </row>
    <row r="123" customFormat="false" ht="18" hidden="false" customHeight="true" outlineLevel="0" collapsed="false">
      <c r="A123" s="4" t="n">
        <v>121</v>
      </c>
      <c r="B123" s="5" t="s">
        <v>264</v>
      </c>
      <c r="C123" s="6" t="s">
        <v>265</v>
      </c>
      <c r="D123" s="6" t="s">
        <v>228</v>
      </c>
      <c r="E123" s="7" t="n">
        <v>95</v>
      </c>
      <c r="F123" s="8" t="s">
        <v>14</v>
      </c>
      <c r="G123" s="9" t="s">
        <v>15</v>
      </c>
      <c r="H123" s="6"/>
      <c r="I123" s="7"/>
      <c r="J123" s="6"/>
    </row>
    <row r="124" customFormat="false" ht="18" hidden="false" customHeight="true" outlineLevel="0" collapsed="false">
      <c r="A124" s="10" t="n">
        <v>122</v>
      </c>
      <c r="B124" s="11" t="s">
        <v>266</v>
      </c>
      <c r="C124" s="12" t="s">
        <v>267</v>
      </c>
      <c r="D124" s="12" t="s">
        <v>228</v>
      </c>
      <c r="E124" s="13" t="n">
        <v>195</v>
      </c>
      <c r="F124" s="8" t="s">
        <v>14</v>
      </c>
      <c r="G124" s="14" t="s">
        <v>15</v>
      </c>
      <c r="H124" s="12"/>
      <c r="I124" s="13"/>
      <c r="J124" s="12"/>
    </row>
    <row r="125" customFormat="false" ht="18" hidden="false" customHeight="true" outlineLevel="0" collapsed="false">
      <c r="A125" s="4" t="n">
        <v>123</v>
      </c>
      <c r="B125" s="5" t="s">
        <v>268</v>
      </c>
      <c r="C125" s="6" t="s">
        <v>269</v>
      </c>
      <c r="D125" s="6" t="s">
        <v>228</v>
      </c>
      <c r="E125" s="7" t="n">
        <v>0</v>
      </c>
      <c r="F125" s="8" t="s">
        <v>14</v>
      </c>
      <c r="G125" s="9" t="s">
        <v>15</v>
      </c>
      <c r="H125" s="6"/>
      <c r="I125" s="7"/>
      <c r="J125" s="6"/>
    </row>
    <row r="126" customFormat="false" ht="18" hidden="false" customHeight="true" outlineLevel="0" collapsed="false">
      <c r="A126" s="10" t="n">
        <v>124</v>
      </c>
      <c r="B126" s="11" t="s">
        <v>270</v>
      </c>
      <c r="C126" s="12" t="s">
        <v>271</v>
      </c>
      <c r="D126" s="12" t="s">
        <v>228</v>
      </c>
      <c r="E126" s="13" t="n">
        <v>595</v>
      </c>
      <c r="F126" s="8" t="s">
        <v>14</v>
      </c>
      <c r="G126" s="14" t="s">
        <v>15</v>
      </c>
      <c r="H126" s="12"/>
      <c r="I126" s="13"/>
      <c r="J126" s="12"/>
    </row>
    <row r="127" customFormat="false" ht="18" hidden="false" customHeight="true" outlineLevel="0" collapsed="false">
      <c r="A127" s="4" t="n">
        <v>125</v>
      </c>
      <c r="B127" s="5" t="s">
        <v>272</v>
      </c>
      <c r="C127" s="6" t="s">
        <v>273</v>
      </c>
      <c r="D127" s="6" t="s">
        <v>228</v>
      </c>
      <c r="E127" s="7" t="n">
        <v>0</v>
      </c>
      <c r="F127" s="8" t="s">
        <v>14</v>
      </c>
      <c r="G127" s="9" t="s">
        <v>15</v>
      </c>
      <c r="H127" s="6"/>
      <c r="I127" s="7"/>
      <c r="J127" s="6"/>
    </row>
    <row r="128" customFormat="false" ht="18" hidden="false" customHeight="true" outlineLevel="0" collapsed="false">
      <c r="A128" s="10" t="n">
        <v>126</v>
      </c>
      <c r="B128" s="11" t="s">
        <v>274</v>
      </c>
      <c r="C128" s="12" t="s">
        <v>275</v>
      </c>
      <c r="D128" s="12" t="s">
        <v>228</v>
      </c>
      <c r="E128" s="13" t="n">
        <v>95</v>
      </c>
      <c r="F128" s="8" t="s">
        <v>14</v>
      </c>
      <c r="G128" s="14" t="s">
        <v>15</v>
      </c>
      <c r="H128" s="12"/>
      <c r="I128" s="13"/>
      <c r="J128" s="12"/>
    </row>
    <row r="129" customFormat="false" ht="18" hidden="false" customHeight="true" outlineLevel="0" collapsed="false">
      <c r="A129" s="4" t="n">
        <v>127</v>
      </c>
      <c r="B129" s="5" t="s">
        <v>276</v>
      </c>
      <c r="C129" s="6" t="s">
        <v>277</v>
      </c>
      <c r="D129" s="6" t="s">
        <v>228</v>
      </c>
      <c r="E129" s="7" t="n">
        <v>250</v>
      </c>
      <c r="F129" s="8" t="s">
        <v>14</v>
      </c>
      <c r="G129" s="9" t="s">
        <v>15</v>
      </c>
      <c r="H129" s="6"/>
      <c r="I129" s="7"/>
      <c r="J129" s="6"/>
    </row>
    <row r="130" customFormat="false" ht="18" hidden="false" customHeight="true" outlineLevel="0" collapsed="false">
      <c r="A130" s="10" t="n">
        <v>128</v>
      </c>
      <c r="B130" s="11" t="s">
        <v>278</v>
      </c>
      <c r="C130" s="12" t="s">
        <v>279</v>
      </c>
      <c r="D130" s="12" t="s">
        <v>228</v>
      </c>
      <c r="E130" s="13" t="n">
        <v>550</v>
      </c>
      <c r="F130" s="8" t="s">
        <v>14</v>
      </c>
      <c r="G130" s="14" t="s">
        <v>15</v>
      </c>
      <c r="H130" s="12"/>
      <c r="I130" s="13"/>
      <c r="J130" s="12"/>
    </row>
    <row r="131" customFormat="false" ht="18" hidden="false" customHeight="true" outlineLevel="0" collapsed="false">
      <c r="A131" s="4" t="n">
        <v>129</v>
      </c>
      <c r="B131" s="5" t="s">
        <v>280</v>
      </c>
      <c r="C131" s="6" t="s">
        <v>281</v>
      </c>
      <c r="D131" s="6" t="s">
        <v>228</v>
      </c>
      <c r="E131" s="7" t="n">
        <v>199</v>
      </c>
      <c r="F131" s="8" t="s">
        <v>14</v>
      </c>
      <c r="G131" s="9" t="s">
        <v>15</v>
      </c>
      <c r="H131" s="6"/>
      <c r="I131" s="7"/>
      <c r="J131" s="6"/>
    </row>
    <row r="132" customFormat="false" ht="18" hidden="false" customHeight="true" outlineLevel="0" collapsed="false">
      <c r="A132" s="10" t="n">
        <v>130</v>
      </c>
      <c r="B132" s="11" t="s">
        <v>282</v>
      </c>
      <c r="C132" s="12" t="s">
        <v>283</v>
      </c>
      <c r="D132" s="12" t="s">
        <v>228</v>
      </c>
      <c r="E132" s="13" t="n">
        <v>69</v>
      </c>
      <c r="F132" s="8" t="s">
        <v>14</v>
      </c>
      <c r="G132" s="14" t="s">
        <v>15</v>
      </c>
      <c r="H132" s="12"/>
      <c r="I132" s="13"/>
      <c r="J132" s="12"/>
    </row>
    <row r="133" customFormat="false" ht="18" hidden="false" customHeight="true" outlineLevel="0" collapsed="false">
      <c r="A133" s="4" t="n">
        <v>131</v>
      </c>
      <c r="B133" s="5" t="s">
        <v>284</v>
      </c>
      <c r="C133" s="6" t="s">
        <v>285</v>
      </c>
      <c r="D133" s="6" t="s">
        <v>228</v>
      </c>
      <c r="E133" s="7" t="n">
        <v>99</v>
      </c>
      <c r="F133" s="8" t="s">
        <v>14</v>
      </c>
      <c r="G133" s="9" t="s">
        <v>15</v>
      </c>
      <c r="H133" s="6"/>
      <c r="I133" s="7"/>
      <c r="J133" s="6"/>
    </row>
    <row r="134" customFormat="false" ht="18" hidden="false" customHeight="true" outlineLevel="0" collapsed="false">
      <c r="A134" s="10" t="n">
        <v>132</v>
      </c>
      <c r="B134" s="11" t="s">
        <v>286</v>
      </c>
      <c r="C134" s="12" t="s">
        <v>287</v>
      </c>
      <c r="D134" s="12" t="s">
        <v>228</v>
      </c>
      <c r="E134" s="13" t="n">
        <v>99</v>
      </c>
      <c r="F134" s="8" t="s">
        <v>14</v>
      </c>
      <c r="G134" s="14" t="s">
        <v>15</v>
      </c>
      <c r="H134" s="12"/>
      <c r="I134" s="13"/>
      <c r="J134" s="12"/>
    </row>
    <row r="135" customFormat="false" ht="18" hidden="false" customHeight="true" outlineLevel="0" collapsed="false">
      <c r="A135" s="4" t="n">
        <v>133</v>
      </c>
      <c r="B135" s="5" t="s">
        <v>288</v>
      </c>
      <c r="C135" s="6" t="s">
        <v>289</v>
      </c>
      <c r="D135" s="6" t="s">
        <v>228</v>
      </c>
      <c r="E135" s="7" t="n">
        <v>149</v>
      </c>
      <c r="F135" s="8" t="s">
        <v>14</v>
      </c>
      <c r="G135" s="9" t="s">
        <v>15</v>
      </c>
      <c r="H135" s="6"/>
      <c r="I135" s="7"/>
      <c r="J135" s="6"/>
    </row>
    <row r="136" customFormat="false" ht="18" hidden="false" customHeight="true" outlineLevel="0" collapsed="false">
      <c r="A136" s="10" t="n">
        <v>134</v>
      </c>
      <c r="B136" s="11" t="s">
        <v>290</v>
      </c>
      <c r="C136" s="12" t="s">
        <v>291</v>
      </c>
      <c r="D136" s="12" t="s">
        <v>228</v>
      </c>
      <c r="E136" s="13" t="n">
        <v>49</v>
      </c>
      <c r="F136" s="8" t="s">
        <v>14</v>
      </c>
      <c r="G136" s="14" t="s">
        <v>15</v>
      </c>
      <c r="H136" s="12"/>
      <c r="I136" s="13"/>
      <c r="J136" s="12"/>
    </row>
    <row r="137" customFormat="false" ht="18" hidden="false" customHeight="true" outlineLevel="0" collapsed="false">
      <c r="A137" s="4" t="n">
        <v>135</v>
      </c>
      <c r="B137" s="5" t="s">
        <v>292</v>
      </c>
      <c r="C137" s="6" t="s">
        <v>293</v>
      </c>
      <c r="D137" s="6" t="s">
        <v>228</v>
      </c>
      <c r="E137" s="7" t="n">
        <v>450</v>
      </c>
      <c r="F137" s="8" t="s">
        <v>14</v>
      </c>
      <c r="G137" s="9" t="s">
        <v>15</v>
      </c>
      <c r="H137" s="6"/>
      <c r="I137" s="7"/>
      <c r="J137" s="6"/>
    </row>
    <row r="138" customFormat="false" ht="18" hidden="false" customHeight="true" outlineLevel="0" collapsed="false">
      <c r="A138" s="10" t="n">
        <v>136</v>
      </c>
      <c r="B138" s="11" t="s">
        <v>294</v>
      </c>
      <c r="C138" s="12" t="s">
        <v>295</v>
      </c>
      <c r="D138" s="12" t="s">
        <v>228</v>
      </c>
      <c r="E138" s="13" t="n">
        <v>350</v>
      </c>
      <c r="F138" s="8" t="s">
        <v>14</v>
      </c>
      <c r="G138" s="14" t="s">
        <v>15</v>
      </c>
      <c r="H138" s="12"/>
      <c r="I138" s="13"/>
      <c r="J138" s="12"/>
    </row>
    <row r="139" customFormat="false" ht="18" hidden="false" customHeight="true" outlineLevel="0" collapsed="false">
      <c r="A139" s="4" t="n">
        <v>137</v>
      </c>
      <c r="B139" s="5" t="s">
        <v>296</v>
      </c>
      <c r="C139" s="6" t="s">
        <v>297</v>
      </c>
      <c r="D139" s="6" t="s">
        <v>228</v>
      </c>
      <c r="E139" s="7" t="n">
        <v>525</v>
      </c>
      <c r="F139" s="8" t="s">
        <v>14</v>
      </c>
      <c r="G139" s="9" t="s">
        <v>15</v>
      </c>
      <c r="H139" s="6"/>
      <c r="I139" s="7"/>
      <c r="J139" s="6"/>
    </row>
    <row r="140" customFormat="false" ht="18" hidden="false" customHeight="true" outlineLevel="0" collapsed="false">
      <c r="A140" s="10" t="n">
        <v>138</v>
      </c>
      <c r="B140" s="11" t="s">
        <v>298</v>
      </c>
      <c r="C140" s="12" t="s">
        <v>299</v>
      </c>
      <c r="D140" s="12" t="s">
        <v>228</v>
      </c>
      <c r="E140" s="13" t="n">
        <v>0</v>
      </c>
      <c r="F140" s="8" t="s">
        <v>14</v>
      </c>
      <c r="G140" s="14" t="s">
        <v>15</v>
      </c>
      <c r="H140" s="12"/>
      <c r="I140" s="13"/>
      <c r="J140" s="12"/>
    </row>
    <row r="141" customFormat="false" ht="18" hidden="false" customHeight="true" outlineLevel="0" collapsed="false">
      <c r="A141" s="4" t="n">
        <v>139</v>
      </c>
      <c r="B141" s="5" t="s">
        <v>300</v>
      </c>
      <c r="C141" s="6" t="s">
        <v>301</v>
      </c>
      <c r="D141" s="6" t="s">
        <v>228</v>
      </c>
      <c r="E141" s="7" t="n">
        <v>250</v>
      </c>
      <c r="F141" s="8" t="s">
        <v>14</v>
      </c>
      <c r="G141" s="9" t="s">
        <v>15</v>
      </c>
      <c r="H141" s="6"/>
      <c r="I141" s="7"/>
      <c r="J141" s="6"/>
    </row>
    <row r="142" customFormat="false" ht="18" hidden="false" customHeight="true" outlineLevel="0" collapsed="false">
      <c r="A142" s="10" t="n">
        <v>140</v>
      </c>
      <c r="B142" s="11" t="s">
        <v>302</v>
      </c>
      <c r="C142" s="12" t="s">
        <v>303</v>
      </c>
      <c r="D142" s="12" t="s">
        <v>228</v>
      </c>
      <c r="E142" s="13" t="n">
        <v>99</v>
      </c>
      <c r="F142" s="8" t="s">
        <v>14</v>
      </c>
      <c r="G142" s="14" t="s">
        <v>15</v>
      </c>
      <c r="H142" s="12"/>
      <c r="I142" s="13"/>
      <c r="J142" s="12"/>
    </row>
    <row r="143" customFormat="false" ht="18" hidden="false" customHeight="true" outlineLevel="0" collapsed="false">
      <c r="A143" s="4" t="n">
        <v>141</v>
      </c>
      <c r="B143" s="5" t="s">
        <v>304</v>
      </c>
      <c r="C143" s="6" t="s">
        <v>305</v>
      </c>
      <c r="D143" s="6" t="s">
        <v>228</v>
      </c>
      <c r="E143" s="7" t="n">
        <v>150</v>
      </c>
      <c r="F143" s="8" t="s">
        <v>14</v>
      </c>
      <c r="G143" s="9" t="s">
        <v>15</v>
      </c>
      <c r="H143" s="6"/>
      <c r="I143" s="7"/>
      <c r="J143" s="6"/>
    </row>
    <row r="144" customFormat="false" ht="18" hidden="false" customHeight="true" outlineLevel="0" collapsed="false">
      <c r="A144" s="10" t="n">
        <v>142</v>
      </c>
      <c r="B144" s="11" t="s">
        <v>306</v>
      </c>
      <c r="C144" s="12" t="s">
        <v>307</v>
      </c>
      <c r="D144" s="12" t="s">
        <v>228</v>
      </c>
      <c r="E144" s="13" t="n">
        <v>199</v>
      </c>
      <c r="F144" s="8" t="s">
        <v>14</v>
      </c>
      <c r="G144" s="14" t="s">
        <v>15</v>
      </c>
      <c r="H144" s="12"/>
      <c r="I144" s="13"/>
      <c r="J144" s="12"/>
    </row>
    <row r="145" customFormat="false" ht="18" hidden="false" customHeight="true" outlineLevel="0" collapsed="false">
      <c r="A145" s="4" t="n">
        <v>143</v>
      </c>
      <c r="B145" s="5" t="s">
        <v>308</v>
      </c>
      <c r="C145" s="6" t="s">
        <v>309</v>
      </c>
      <c r="D145" s="6" t="s">
        <v>228</v>
      </c>
      <c r="E145" s="7" t="n">
        <v>95</v>
      </c>
      <c r="F145" s="8" t="s">
        <v>14</v>
      </c>
      <c r="G145" s="9" t="s">
        <v>15</v>
      </c>
      <c r="H145" s="6"/>
      <c r="I145" s="7"/>
      <c r="J145" s="6"/>
    </row>
    <row r="146" customFormat="false" ht="18" hidden="false" customHeight="true" outlineLevel="0" collapsed="false">
      <c r="A146" s="10" t="n">
        <v>144</v>
      </c>
      <c r="B146" s="11" t="s">
        <v>310</v>
      </c>
      <c r="C146" s="12" t="s">
        <v>311</v>
      </c>
      <c r="D146" s="12" t="s">
        <v>312</v>
      </c>
      <c r="E146" s="13" t="n">
        <v>0</v>
      </c>
      <c r="F146" s="8" t="s">
        <v>14</v>
      </c>
      <c r="G146" s="14" t="s">
        <v>15</v>
      </c>
      <c r="H146" s="12"/>
      <c r="I146" s="13"/>
      <c r="J146" s="12"/>
    </row>
    <row r="147" customFormat="false" ht="18" hidden="false" customHeight="true" outlineLevel="0" collapsed="false">
      <c r="A147" s="4" t="n">
        <v>145</v>
      </c>
      <c r="B147" s="5" t="s">
        <v>313</v>
      </c>
      <c r="C147" s="6" t="s">
        <v>314</v>
      </c>
      <c r="D147" s="6" t="s">
        <v>312</v>
      </c>
      <c r="E147" s="7" t="n">
        <v>0</v>
      </c>
      <c r="F147" s="8" t="s">
        <v>14</v>
      </c>
      <c r="G147" s="9" t="s">
        <v>15</v>
      </c>
      <c r="H147" s="6"/>
      <c r="I147" s="7"/>
      <c r="J147" s="6"/>
    </row>
    <row r="148" customFormat="false" ht="18" hidden="false" customHeight="true" outlineLevel="0" collapsed="false">
      <c r="A148" s="10" t="n">
        <v>146</v>
      </c>
      <c r="B148" s="11" t="s">
        <v>315</v>
      </c>
      <c r="C148" s="12" t="s">
        <v>316</v>
      </c>
      <c r="D148" s="12" t="s">
        <v>312</v>
      </c>
      <c r="E148" s="13" t="n">
        <v>0</v>
      </c>
      <c r="F148" s="8" t="s">
        <v>14</v>
      </c>
      <c r="G148" s="14" t="s">
        <v>15</v>
      </c>
      <c r="H148" s="12"/>
      <c r="I148" s="13"/>
      <c r="J148" s="12"/>
    </row>
    <row r="149" customFormat="false" ht="18" hidden="false" customHeight="true" outlineLevel="0" collapsed="false">
      <c r="A149" s="4" t="n">
        <v>147</v>
      </c>
      <c r="B149" s="5" t="s">
        <v>317</v>
      </c>
      <c r="C149" s="6" t="s">
        <v>318</v>
      </c>
      <c r="D149" s="6" t="s">
        <v>312</v>
      </c>
      <c r="E149" s="7" t="n">
        <v>0</v>
      </c>
      <c r="F149" s="8" t="s">
        <v>14</v>
      </c>
      <c r="G149" s="9" t="s">
        <v>15</v>
      </c>
      <c r="H149" s="6"/>
      <c r="I149" s="7"/>
      <c r="J149" s="6"/>
    </row>
    <row r="150" customFormat="false" ht="18" hidden="false" customHeight="true" outlineLevel="0" collapsed="false">
      <c r="A150" s="10" t="n">
        <v>148</v>
      </c>
      <c r="B150" s="11" t="s">
        <v>319</v>
      </c>
      <c r="C150" s="12" t="s">
        <v>320</v>
      </c>
      <c r="D150" s="12" t="s">
        <v>312</v>
      </c>
      <c r="E150" s="13" t="n">
        <v>595</v>
      </c>
      <c r="F150" s="8" t="s">
        <v>14</v>
      </c>
      <c r="G150" s="14" t="s">
        <v>15</v>
      </c>
      <c r="H150" s="12"/>
      <c r="I150" s="13"/>
      <c r="J150" s="12"/>
    </row>
    <row r="151" customFormat="false" ht="18" hidden="false" customHeight="true" outlineLevel="0" collapsed="false">
      <c r="A151" s="4" t="n">
        <v>149</v>
      </c>
      <c r="B151" s="5" t="s">
        <v>321</v>
      </c>
      <c r="C151" s="6" t="s">
        <v>322</v>
      </c>
      <c r="D151" s="6" t="s">
        <v>312</v>
      </c>
      <c r="E151" s="7" t="n">
        <v>95</v>
      </c>
      <c r="F151" s="8" t="s">
        <v>14</v>
      </c>
      <c r="G151" s="9" t="s">
        <v>15</v>
      </c>
      <c r="H151" s="6"/>
      <c r="I151" s="7"/>
      <c r="J151" s="6"/>
    </row>
    <row r="152" customFormat="false" ht="18" hidden="false" customHeight="true" outlineLevel="0" collapsed="false">
      <c r="A152" s="10" t="n">
        <v>150</v>
      </c>
      <c r="B152" s="11" t="s">
        <v>323</v>
      </c>
      <c r="C152" s="12" t="s">
        <v>324</v>
      </c>
      <c r="D152" s="12" t="s">
        <v>312</v>
      </c>
      <c r="E152" s="13" t="n">
        <v>0</v>
      </c>
      <c r="F152" s="8" t="s">
        <v>14</v>
      </c>
      <c r="G152" s="14" t="s">
        <v>15</v>
      </c>
      <c r="H152" s="12"/>
      <c r="I152" s="13"/>
      <c r="J152" s="12"/>
    </row>
    <row r="153" customFormat="false" ht="18" hidden="false" customHeight="true" outlineLevel="0" collapsed="false">
      <c r="A153" s="4" t="n">
        <v>151</v>
      </c>
      <c r="B153" s="5" t="s">
        <v>325</v>
      </c>
      <c r="C153" s="6" t="s">
        <v>326</v>
      </c>
      <c r="D153" s="6" t="s">
        <v>312</v>
      </c>
      <c r="E153" s="7" t="n">
        <v>595</v>
      </c>
      <c r="F153" s="8" t="s">
        <v>14</v>
      </c>
      <c r="G153" s="9" t="s">
        <v>15</v>
      </c>
      <c r="H153" s="6"/>
      <c r="I153" s="7"/>
      <c r="J153" s="6"/>
    </row>
    <row r="154" customFormat="false" ht="18" hidden="false" customHeight="true" outlineLevel="0" collapsed="false">
      <c r="A154" s="10" t="n">
        <v>152</v>
      </c>
      <c r="B154" s="11" t="s">
        <v>327</v>
      </c>
      <c r="C154" s="12" t="s">
        <v>328</v>
      </c>
      <c r="D154" s="12" t="s">
        <v>312</v>
      </c>
      <c r="E154" s="13" t="n">
        <v>350</v>
      </c>
      <c r="F154" s="8" t="s">
        <v>14</v>
      </c>
      <c r="G154" s="14" t="s">
        <v>15</v>
      </c>
      <c r="H154" s="12"/>
      <c r="I154" s="13"/>
      <c r="J154" s="12"/>
    </row>
    <row r="155" customFormat="false" ht="18" hidden="false" customHeight="true" outlineLevel="0" collapsed="false">
      <c r="A155" s="4" t="n">
        <v>153</v>
      </c>
      <c r="B155" s="5" t="s">
        <v>329</v>
      </c>
      <c r="C155" s="6" t="s">
        <v>330</v>
      </c>
      <c r="D155" s="6" t="s">
        <v>312</v>
      </c>
      <c r="E155" s="7" t="n">
        <v>0</v>
      </c>
      <c r="F155" s="8" t="s">
        <v>14</v>
      </c>
      <c r="G155" s="9" t="s">
        <v>15</v>
      </c>
      <c r="H155" s="6"/>
      <c r="I155" s="7"/>
      <c r="J155" s="6"/>
    </row>
    <row r="156" customFormat="false" ht="18" hidden="false" customHeight="true" outlineLevel="0" collapsed="false">
      <c r="A156" s="10" t="n">
        <v>154</v>
      </c>
      <c r="B156" s="11" t="s">
        <v>331</v>
      </c>
      <c r="C156" s="12" t="s">
        <v>332</v>
      </c>
      <c r="D156" s="12" t="s">
        <v>312</v>
      </c>
      <c r="E156" s="13" t="n">
        <v>99</v>
      </c>
      <c r="F156" s="8" t="s">
        <v>14</v>
      </c>
      <c r="G156" s="14" t="s">
        <v>15</v>
      </c>
      <c r="H156" s="12"/>
      <c r="I156" s="13"/>
      <c r="J156" s="12"/>
    </row>
    <row r="157" customFormat="false" ht="18" hidden="false" customHeight="true" outlineLevel="0" collapsed="false">
      <c r="A157" s="4" t="n">
        <v>155</v>
      </c>
      <c r="B157" s="5" t="s">
        <v>333</v>
      </c>
      <c r="C157" s="6" t="s">
        <v>334</v>
      </c>
      <c r="D157" s="6" t="s">
        <v>312</v>
      </c>
      <c r="E157" s="7" t="n">
        <v>99</v>
      </c>
      <c r="F157" s="8" t="s">
        <v>14</v>
      </c>
      <c r="G157" s="9" t="s">
        <v>15</v>
      </c>
      <c r="H157" s="6"/>
      <c r="I157" s="7"/>
      <c r="J157" s="6"/>
    </row>
    <row r="158" customFormat="false" ht="18" hidden="false" customHeight="true" outlineLevel="0" collapsed="false">
      <c r="A158" s="10" t="n">
        <v>156</v>
      </c>
      <c r="B158" s="11" t="s">
        <v>335</v>
      </c>
      <c r="C158" s="12" t="s">
        <v>336</v>
      </c>
      <c r="D158" s="12" t="s">
        <v>312</v>
      </c>
      <c r="E158" s="13" t="n">
        <v>0</v>
      </c>
      <c r="F158" s="8" t="s">
        <v>14</v>
      </c>
      <c r="G158" s="14" t="s">
        <v>15</v>
      </c>
      <c r="H158" s="12"/>
      <c r="I158" s="13"/>
      <c r="J158" s="12"/>
    </row>
    <row r="159" customFormat="false" ht="18" hidden="false" customHeight="true" outlineLevel="0" collapsed="false">
      <c r="A159" s="4" t="n">
        <v>157</v>
      </c>
      <c r="B159" s="5" t="s">
        <v>337</v>
      </c>
      <c r="C159" s="6" t="s">
        <v>338</v>
      </c>
      <c r="D159" s="6" t="s">
        <v>312</v>
      </c>
      <c r="E159" s="7" t="n">
        <v>0</v>
      </c>
      <c r="F159" s="8" t="s">
        <v>14</v>
      </c>
      <c r="G159" s="9" t="s">
        <v>15</v>
      </c>
      <c r="H159" s="6"/>
      <c r="I159" s="7"/>
      <c r="J159" s="6"/>
    </row>
    <row r="160" customFormat="false" ht="18" hidden="false" customHeight="true" outlineLevel="0" collapsed="false">
      <c r="A160" s="10" t="n">
        <v>158</v>
      </c>
      <c r="B160" s="11" t="s">
        <v>339</v>
      </c>
      <c r="C160" s="12" t="s">
        <v>340</v>
      </c>
      <c r="D160" s="12" t="s">
        <v>312</v>
      </c>
      <c r="E160" s="13" t="n">
        <v>0</v>
      </c>
      <c r="F160" s="8" t="s">
        <v>14</v>
      </c>
      <c r="G160" s="14" t="s">
        <v>15</v>
      </c>
      <c r="H160" s="12"/>
      <c r="I160" s="13"/>
      <c r="J160" s="12"/>
    </row>
    <row r="161" customFormat="false" ht="18" hidden="false" customHeight="true" outlineLevel="0" collapsed="false">
      <c r="A161" s="4" t="n">
        <v>159</v>
      </c>
      <c r="B161" s="5" t="s">
        <v>341</v>
      </c>
      <c r="C161" s="6" t="s">
        <v>342</v>
      </c>
      <c r="D161" s="6" t="s">
        <v>312</v>
      </c>
      <c r="E161" s="7" t="n">
        <v>0</v>
      </c>
      <c r="F161" s="8" t="s">
        <v>14</v>
      </c>
      <c r="G161" s="9" t="s">
        <v>15</v>
      </c>
      <c r="H161" s="6"/>
      <c r="I161" s="7"/>
      <c r="J161" s="6"/>
    </row>
    <row r="162" customFormat="false" ht="18" hidden="false" customHeight="true" outlineLevel="0" collapsed="false">
      <c r="A162" s="10" t="n">
        <v>160</v>
      </c>
      <c r="B162" s="11" t="s">
        <v>343</v>
      </c>
      <c r="C162" s="12" t="s">
        <v>344</v>
      </c>
      <c r="D162" s="12" t="s">
        <v>312</v>
      </c>
      <c r="E162" s="13" t="n">
        <v>0</v>
      </c>
      <c r="F162" s="8" t="s">
        <v>14</v>
      </c>
      <c r="G162" s="14" t="s">
        <v>15</v>
      </c>
      <c r="H162" s="12"/>
      <c r="I162" s="13"/>
      <c r="J162" s="12"/>
    </row>
    <row r="163" customFormat="false" ht="18" hidden="false" customHeight="true" outlineLevel="0" collapsed="false">
      <c r="A163" s="4" t="n">
        <v>161</v>
      </c>
      <c r="B163" s="5" t="s">
        <v>345</v>
      </c>
      <c r="C163" s="6" t="s">
        <v>346</v>
      </c>
      <c r="D163" s="6" t="s">
        <v>312</v>
      </c>
      <c r="E163" s="7" t="n">
        <v>0</v>
      </c>
      <c r="F163" s="8" t="s">
        <v>14</v>
      </c>
      <c r="G163" s="9" t="s">
        <v>15</v>
      </c>
      <c r="H163" s="6"/>
      <c r="I163" s="7"/>
      <c r="J163" s="6"/>
    </row>
    <row r="164" customFormat="false" ht="18" hidden="false" customHeight="true" outlineLevel="0" collapsed="false">
      <c r="A164" s="10" t="n">
        <v>162</v>
      </c>
      <c r="B164" s="11" t="s">
        <v>347</v>
      </c>
      <c r="C164" s="12" t="s">
        <v>348</v>
      </c>
      <c r="D164" s="12" t="s">
        <v>312</v>
      </c>
      <c r="E164" s="13" t="n">
        <v>0</v>
      </c>
      <c r="F164" s="8" t="s">
        <v>14</v>
      </c>
      <c r="G164" s="14" t="s">
        <v>15</v>
      </c>
      <c r="H164" s="12"/>
      <c r="I164" s="13"/>
      <c r="J164" s="12"/>
    </row>
    <row r="165" customFormat="false" ht="18" hidden="false" customHeight="true" outlineLevel="0" collapsed="false">
      <c r="A165" s="4" t="n">
        <v>163</v>
      </c>
      <c r="B165" s="5" t="s">
        <v>349</v>
      </c>
      <c r="C165" s="6" t="s">
        <v>350</v>
      </c>
      <c r="D165" s="6" t="s">
        <v>312</v>
      </c>
      <c r="E165" s="7" t="n">
        <v>0</v>
      </c>
      <c r="F165" s="8" t="s">
        <v>14</v>
      </c>
      <c r="G165" s="9" t="s">
        <v>15</v>
      </c>
      <c r="H165" s="6"/>
      <c r="I165" s="7"/>
      <c r="J165" s="6"/>
    </row>
    <row r="166" customFormat="false" ht="18" hidden="false" customHeight="true" outlineLevel="0" collapsed="false">
      <c r="A166" s="10" t="n">
        <v>164</v>
      </c>
      <c r="B166" s="11" t="s">
        <v>351</v>
      </c>
      <c r="C166" s="12" t="s">
        <v>352</v>
      </c>
      <c r="D166" s="12" t="s">
        <v>312</v>
      </c>
      <c r="E166" s="13" t="n">
        <v>0</v>
      </c>
      <c r="F166" s="8" t="s">
        <v>14</v>
      </c>
      <c r="G166" s="14" t="s">
        <v>15</v>
      </c>
      <c r="H166" s="12"/>
      <c r="I166" s="13"/>
      <c r="J166" s="12"/>
    </row>
    <row r="167" customFormat="false" ht="18" hidden="false" customHeight="true" outlineLevel="0" collapsed="false">
      <c r="A167" s="4" t="n">
        <v>165</v>
      </c>
      <c r="B167" s="5" t="s">
        <v>353</v>
      </c>
      <c r="C167" s="6" t="s">
        <v>354</v>
      </c>
      <c r="D167" s="6" t="s">
        <v>312</v>
      </c>
      <c r="E167" s="7" t="n">
        <v>0</v>
      </c>
      <c r="F167" s="8" t="s">
        <v>14</v>
      </c>
      <c r="G167" s="9" t="s">
        <v>15</v>
      </c>
      <c r="H167" s="6"/>
      <c r="I167" s="7"/>
      <c r="J167" s="6"/>
    </row>
    <row r="168" customFormat="false" ht="18" hidden="false" customHeight="true" outlineLevel="0" collapsed="false">
      <c r="A168" s="10" t="n">
        <v>166</v>
      </c>
      <c r="B168" s="11" t="s">
        <v>355</v>
      </c>
      <c r="C168" s="12" t="s">
        <v>356</v>
      </c>
      <c r="D168" s="12" t="s">
        <v>357</v>
      </c>
      <c r="E168" s="13" t="n">
        <v>0</v>
      </c>
      <c r="F168" s="15" t="s">
        <v>79</v>
      </c>
      <c r="G168" s="14" t="s">
        <v>15</v>
      </c>
      <c r="H168" s="12"/>
      <c r="I168" s="13"/>
      <c r="J168" s="12"/>
    </row>
    <row r="169" customFormat="false" ht="18" hidden="false" customHeight="true" outlineLevel="0" collapsed="false">
      <c r="A169" s="4" t="n">
        <v>167</v>
      </c>
      <c r="B169" s="5" t="s">
        <v>358</v>
      </c>
      <c r="C169" s="6" t="s">
        <v>359</v>
      </c>
      <c r="D169" s="6" t="s">
        <v>360</v>
      </c>
      <c r="E169" s="7" t="n">
        <v>75</v>
      </c>
      <c r="F169" s="15" t="s">
        <v>79</v>
      </c>
      <c r="G169" s="9" t="s">
        <v>15</v>
      </c>
      <c r="H169" s="6"/>
      <c r="I169" s="7"/>
      <c r="J169" s="6"/>
    </row>
    <row r="170" customFormat="false" ht="18" hidden="false" customHeight="true" outlineLevel="0" collapsed="false">
      <c r="A170" s="10" t="n">
        <v>168</v>
      </c>
      <c r="B170" s="11" t="s">
        <v>361</v>
      </c>
      <c r="C170" s="12" t="s">
        <v>362</v>
      </c>
      <c r="D170" s="12" t="s">
        <v>360</v>
      </c>
      <c r="E170" s="13" t="n">
        <v>95</v>
      </c>
      <c r="F170" s="15" t="s">
        <v>79</v>
      </c>
      <c r="G170" s="14" t="s">
        <v>15</v>
      </c>
      <c r="H170" s="12"/>
      <c r="I170" s="13"/>
      <c r="J170" s="12"/>
    </row>
    <row r="171" customFormat="false" ht="18" hidden="false" customHeight="true" outlineLevel="0" collapsed="false">
      <c r="A171" s="4" t="n">
        <v>169</v>
      </c>
      <c r="B171" s="5" t="s">
        <v>363</v>
      </c>
      <c r="C171" s="6" t="s">
        <v>364</v>
      </c>
      <c r="D171" s="6" t="s">
        <v>365</v>
      </c>
      <c r="E171" s="7" t="n">
        <v>0</v>
      </c>
      <c r="F171" s="15" t="s">
        <v>79</v>
      </c>
      <c r="G171" s="9" t="s">
        <v>15</v>
      </c>
      <c r="H171" s="6"/>
      <c r="I171" s="7"/>
      <c r="J171" s="6"/>
    </row>
    <row r="172" customFormat="false" ht="18" hidden="false" customHeight="true" outlineLevel="0" collapsed="false">
      <c r="A172" s="10" t="n">
        <v>170</v>
      </c>
      <c r="B172" s="11" t="s">
        <v>366</v>
      </c>
      <c r="C172" s="12" t="s">
        <v>367</v>
      </c>
      <c r="D172" s="12" t="s">
        <v>368</v>
      </c>
      <c r="E172" s="13" t="n">
        <v>0</v>
      </c>
      <c r="F172" s="16" t="s">
        <v>86</v>
      </c>
      <c r="G172" s="14" t="s">
        <v>15</v>
      </c>
      <c r="H172" s="12"/>
      <c r="I172" s="13"/>
      <c r="J172" s="12"/>
    </row>
    <row r="173" customFormat="false" ht="18" hidden="false" customHeight="true" outlineLevel="0" collapsed="false">
      <c r="A173" s="4" t="n">
        <v>171</v>
      </c>
      <c r="B173" s="5" t="s">
        <v>369</v>
      </c>
      <c r="C173" s="6" t="s">
        <v>370</v>
      </c>
      <c r="D173" s="6" t="s">
        <v>368</v>
      </c>
      <c r="E173" s="7" t="n">
        <v>0</v>
      </c>
      <c r="F173" s="16" t="s">
        <v>86</v>
      </c>
      <c r="G173" s="9" t="s">
        <v>15</v>
      </c>
      <c r="H173" s="6"/>
      <c r="I173" s="7"/>
      <c r="J173" s="6"/>
    </row>
    <row r="174" customFormat="false" ht="18" hidden="false" customHeight="true" outlineLevel="0" collapsed="false">
      <c r="A174" s="10" t="n">
        <v>172</v>
      </c>
      <c r="B174" s="11" t="s">
        <v>371</v>
      </c>
      <c r="C174" s="12" t="s">
        <v>372</v>
      </c>
      <c r="D174" s="12" t="s">
        <v>368</v>
      </c>
      <c r="E174" s="13" t="n">
        <v>0</v>
      </c>
      <c r="F174" s="16" t="s">
        <v>86</v>
      </c>
      <c r="G174" s="14" t="s">
        <v>15</v>
      </c>
      <c r="H174" s="12"/>
      <c r="I174" s="13"/>
      <c r="J174" s="12"/>
    </row>
    <row r="175" customFormat="false" ht="18" hidden="false" customHeight="true" outlineLevel="0" collapsed="false">
      <c r="A175" s="4" t="n">
        <v>173</v>
      </c>
      <c r="B175" s="5" t="s">
        <v>373</v>
      </c>
      <c r="C175" s="6" t="s">
        <v>374</v>
      </c>
      <c r="D175" s="6" t="s">
        <v>368</v>
      </c>
      <c r="E175" s="7" t="n">
        <v>0</v>
      </c>
      <c r="F175" s="16" t="s">
        <v>86</v>
      </c>
      <c r="G175" s="9" t="s">
        <v>15</v>
      </c>
      <c r="H175" s="6"/>
      <c r="I175" s="7"/>
      <c r="J175" s="6"/>
    </row>
    <row r="176" customFormat="false" ht="18" hidden="false" customHeight="true" outlineLevel="0" collapsed="false">
      <c r="A176" s="10" t="n">
        <v>174</v>
      </c>
      <c r="B176" s="11" t="s">
        <v>375</v>
      </c>
      <c r="C176" s="12" t="s">
        <v>376</v>
      </c>
      <c r="D176" s="12" t="s">
        <v>368</v>
      </c>
      <c r="E176" s="13" t="n">
        <v>0</v>
      </c>
      <c r="F176" s="16" t="s">
        <v>86</v>
      </c>
      <c r="G176" s="14" t="s">
        <v>15</v>
      </c>
      <c r="H176" s="12"/>
      <c r="I176" s="13"/>
      <c r="J176" s="12"/>
    </row>
    <row r="177" customFormat="false" ht="18" hidden="false" customHeight="true" outlineLevel="0" collapsed="false">
      <c r="A177" s="4" t="n">
        <v>175</v>
      </c>
      <c r="B177" s="5" t="s">
        <v>377</v>
      </c>
      <c r="C177" s="6" t="s">
        <v>378</v>
      </c>
      <c r="D177" s="6" t="s">
        <v>368</v>
      </c>
      <c r="E177" s="7" t="n">
        <v>0</v>
      </c>
      <c r="F177" s="16" t="s">
        <v>86</v>
      </c>
      <c r="G177" s="9" t="s">
        <v>15</v>
      </c>
      <c r="H177" s="6"/>
      <c r="I177" s="7"/>
      <c r="J177" s="6"/>
    </row>
    <row r="178" customFormat="false" ht="18" hidden="false" customHeight="true" outlineLevel="0" collapsed="false">
      <c r="A178" s="10" t="n">
        <v>176</v>
      </c>
      <c r="B178" s="11" t="s">
        <v>379</v>
      </c>
      <c r="C178" s="12" t="s">
        <v>380</v>
      </c>
      <c r="D178" s="12" t="s">
        <v>381</v>
      </c>
      <c r="E178" s="13" t="n">
        <v>0</v>
      </c>
      <c r="F178" s="15" t="s">
        <v>79</v>
      </c>
      <c r="G178" s="14" t="s">
        <v>15</v>
      </c>
      <c r="H178" s="12"/>
      <c r="I178" s="13"/>
      <c r="J178" s="12"/>
    </row>
    <row r="179" customFormat="false" ht="18" hidden="false" customHeight="true" outlineLevel="0" collapsed="false">
      <c r="A179" s="4" t="n">
        <v>177</v>
      </c>
      <c r="B179" s="5" t="s">
        <v>382</v>
      </c>
      <c r="C179" s="6" t="s">
        <v>383</v>
      </c>
      <c r="D179" s="6" t="s">
        <v>384</v>
      </c>
      <c r="E179" s="7" t="n">
        <v>0</v>
      </c>
      <c r="F179" s="18" t="s">
        <v>385</v>
      </c>
      <c r="G179" s="9" t="s">
        <v>15</v>
      </c>
      <c r="H179" s="6"/>
      <c r="I179" s="7"/>
      <c r="J179" s="6"/>
    </row>
    <row r="180" customFormat="false" ht="18" hidden="false" customHeight="true" outlineLevel="0" collapsed="false">
      <c r="A180" s="10" t="n">
        <v>178</v>
      </c>
      <c r="B180" s="11" t="s">
        <v>386</v>
      </c>
      <c r="C180" s="12" t="s">
        <v>387</v>
      </c>
      <c r="D180" s="12" t="s">
        <v>384</v>
      </c>
      <c r="E180" s="13" t="n">
        <v>0</v>
      </c>
      <c r="F180" s="18" t="s">
        <v>385</v>
      </c>
      <c r="G180" s="14" t="s">
        <v>15</v>
      </c>
      <c r="H180" s="12"/>
      <c r="I180" s="13"/>
      <c r="J180" s="12"/>
    </row>
    <row r="181" customFormat="false" ht="18" hidden="false" customHeight="true" outlineLevel="0" collapsed="false">
      <c r="A181" s="4" t="n">
        <v>179</v>
      </c>
      <c r="B181" s="5" t="s">
        <v>388</v>
      </c>
      <c r="C181" s="6" t="s">
        <v>389</v>
      </c>
      <c r="D181" s="6" t="s">
        <v>390</v>
      </c>
      <c r="E181" s="7" t="n">
        <v>0</v>
      </c>
      <c r="F181" s="17" t="s">
        <v>119</v>
      </c>
      <c r="G181" s="9" t="s">
        <v>15</v>
      </c>
      <c r="H181" s="6"/>
      <c r="I181" s="7"/>
      <c r="J181" s="6"/>
    </row>
    <row r="182" customFormat="false" ht="18" hidden="false" customHeight="true" outlineLevel="0" collapsed="false">
      <c r="A182" s="10" t="n">
        <v>180</v>
      </c>
      <c r="B182" s="11" t="s">
        <v>391</v>
      </c>
      <c r="C182" s="12" t="s">
        <v>392</v>
      </c>
      <c r="D182" s="12" t="s">
        <v>390</v>
      </c>
      <c r="E182" s="13" t="n">
        <v>0</v>
      </c>
      <c r="F182" s="17" t="s">
        <v>119</v>
      </c>
      <c r="G182" s="14" t="s">
        <v>15</v>
      </c>
      <c r="H182" s="12"/>
      <c r="I182" s="13"/>
      <c r="J182" s="12"/>
    </row>
    <row r="183" customFormat="false" ht="18" hidden="false" customHeight="true" outlineLevel="0" collapsed="false">
      <c r="A183" s="4" t="n">
        <v>181</v>
      </c>
      <c r="B183" s="5" t="s">
        <v>393</v>
      </c>
      <c r="C183" s="6" t="s">
        <v>394</v>
      </c>
      <c r="D183" s="6" t="s">
        <v>390</v>
      </c>
      <c r="E183" s="7" t="n">
        <v>0</v>
      </c>
      <c r="F183" s="17" t="s">
        <v>119</v>
      </c>
      <c r="G183" s="9" t="s">
        <v>15</v>
      </c>
      <c r="H183" s="6"/>
      <c r="I183" s="7"/>
      <c r="J183" s="6"/>
    </row>
    <row r="184" customFormat="false" ht="18" hidden="false" customHeight="true" outlineLevel="0" collapsed="false">
      <c r="A184" s="10" t="n">
        <v>182</v>
      </c>
      <c r="B184" s="11" t="s">
        <v>395</v>
      </c>
      <c r="C184" s="12" t="s">
        <v>396</v>
      </c>
      <c r="D184" s="12" t="s">
        <v>397</v>
      </c>
      <c r="E184" s="13" t="n">
        <v>0</v>
      </c>
      <c r="F184" s="15" t="s">
        <v>79</v>
      </c>
      <c r="G184" s="14" t="s">
        <v>15</v>
      </c>
      <c r="H184" s="12"/>
      <c r="I184" s="13"/>
      <c r="J184" s="12"/>
    </row>
    <row r="185" customFormat="false" ht="18" hidden="false" customHeight="true" outlineLevel="0" collapsed="false">
      <c r="A185" s="4" t="n">
        <v>183</v>
      </c>
      <c r="B185" s="5" t="s">
        <v>398</v>
      </c>
      <c r="C185" s="6" t="s">
        <v>399</v>
      </c>
      <c r="D185" s="6" t="s">
        <v>400</v>
      </c>
      <c r="E185" s="7" t="n">
        <v>395</v>
      </c>
      <c r="F185" s="18" t="s">
        <v>385</v>
      </c>
      <c r="G185" s="9" t="s">
        <v>15</v>
      </c>
      <c r="H185" s="6"/>
      <c r="I185" s="7"/>
      <c r="J185" s="6"/>
    </row>
    <row r="186" customFormat="false" ht="18" hidden="false" customHeight="true" outlineLevel="0" collapsed="false">
      <c r="A186" s="10" t="n">
        <v>184</v>
      </c>
      <c r="B186" s="11" t="s">
        <v>401</v>
      </c>
      <c r="C186" s="12" t="s">
        <v>402</v>
      </c>
      <c r="D186" s="12" t="s">
        <v>400</v>
      </c>
      <c r="E186" s="13" t="n">
        <v>0</v>
      </c>
      <c r="F186" s="18" t="s">
        <v>385</v>
      </c>
      <c r="G186" s="14" t="s">
        <v>15</v>
      </c>
      <c r="H186" s="12"/>
      <c r="I186" s="13"/>
      <c r="J186" s="12"/>
    </row>
    <row r="187" customFormat="false" ht="18" hidden="false" customHeight="true" outlineLevel="0" collapsed="false">
      <c r="A187" s="4" t="n">
        <v>185</v>
      </c>
      <c r="B187" s="5" t="s">
        <v>403</v>
      </c>
      <c r="C187" s="6" t="s">
        <v>404</v>
      </c>
      <c r="D187" s="6" t="s">
        <v>405</v>
      </c>
      <c r="E187" s="7" t="n">
        <v>0</v>
      </c>
      <c r="F187" s="18" t="s">
        <v>385</v>
      </c>
      <c r="G187" s="9" t="s">
        <v>15</v>
      </c>
      <c r="H187" s="6"/>
      <c r="I187" s="7"/>
      <c r="J187" s="6"/>
    </row>
    <row r="188" customFormat="false" ht="18" hidden="false" customHeight="true" outlineLevel="0" collapsed="false">
      <c r="A188" s="10" t="n">
        <v>186</v>
      </c>
      <c r="B188" s="11" t="s">
        <v>406</v>
      </c>
      <c r="C188" s="12" t="s">
        <v>407</v>
      </c>
      <c r="D188" s="12" t="s">
        <v>405</v>
      </c>
      <c r="E188" s="13" t="n">
        <v>0</v>
      </c>
      <c r="F188" s="18" t="s">
        <v>385</v>
      </c>
      <c r="G188" s="14" t="s">
        <v>15</v>
      </c>
      <c r="H188" s="12"/>
      <c r="I188" s="13"/>
      <c r="J188" s="12"/>
    </row>
    <row r="189" customFormat="false" ht="18" hidden="false" customHeight="true" outlineLevel="0" collapsed="false">
      <c r="A189" s="4" t="n">
        <v>187</v>
      </c>
      <c r="B189" s="5" t="s">
        <v>408</v>
      </c>
      <c r="C189" s="6" t="s">
        <v>409</v>
      </c>
      <c r="D189" s="6" t="s">
        <v>405</v>
      </c>
      <c r="E189" s="7" t="n">
        <v>0</v>
      </c>
      <c r="F189" s="18" t="s">
        <v>385</v>
      </c>
      <c r="G189" s="9" t="s">
        <v>15</v>
      </c>
      <c r="H189" s="6"/>
      <c r="I189" s="7"/>
      <c r="J189" s="6"/>
    </row>
    <row r="190" customFormat="false" ht="18" hidden="false" customHeight="true" outlineLevel="0" collapsed="false">
      <c r="A190" s="10" t="n">
        <v>188</v>
      </c>
      <c r="B190" s="11" t="s">
        <v>410</v>
      </c>
      <c r="C190" s="12" t="s">
        <v>411</v>
      </c>
      <c r="D190" s="12" t="s">
        <v>405</v>
      </c>
      <c r="E190" s="13" t="n">
        <v>0</v>
      </c>
      <c r="F190" s="18" t="s">
        <v>385</v>
      </c>
      <c r="G190" s="14" t="s">
        <v>15</v>
      </c>
      <c r="H190" s="12"/>
      <c r="I190" s="13"/>
      <c r="J190" s="12"/>
    </row>
    <row r="191" customFormat="false" ht="18" hidden="false" customHeight="true" outlineLevel="0" collapsed="false">
      <c r="A191" s="4" t="n">
        <v>189</v>
      </c>
      <c r="B191" s="5" t="s">
        <v>412</v>
      </c>
      <c r="C191" s="6" t="s">
        <v>413</v>
      </c>
      <c r="D191" s="6" t="s">
        <v>405</v>
      </c>
      <c r="E191" s="7" t="n">
        <v>0</v>
      </c>
      <c r="F191" s="18" t="s">
        <v>385</v>
      </c>
      <c r="G191" s="9" t="s">
        <v>15</v>
      </c>
      <c r="H191" s="6"/>
      <c r="I191" s="7"/>
      <c r="J191" s="6"/>
    </row>
    <row r="192" customFormat="false" ht="18" hidden="false" customHeight="true" outlineLevel="0" collapsed="false">
      <c r="A192" s="10" t="n">
        <v>190</v>
      </c>
      <c r="B192" s="11" t="s">
        <v>414</v>
      </c>
      <c r="C192" s="12" t="s">
        <v>415</v>
      </c>
      <c r="D192" s="12" t="s">
        <v>405</v>
      </c>
      <c r="E192" s="13" t="n">
        <v>0</v>
      </c>
      <c r="F192" s="18" t="s">
        <v>385</v>
      </c>
      <c r="G192" s="14" t="s">
        <v>15</v>
      </c>
      <c r="H192" s="12"/>
      <c r="I192" s="13"/>
      <c r="J192" s="12"/>
    </row>
    <row r="193" customFormat="false" ht="18" hidden="false" customHeight="true" outlineLevel="0" collapsed="false">
      <c r="A193" s="4" t="n">
        <v>191</v>
      </c>
      <c r="B193" s="5" t="s">
        <v>416</v>
      </c>
      <c r="C193" s="6" t="s">
        <v>417</v>
      </c>
      <c r="D193" s="6" t="s">
        <v>405</v>
      </c>
      <c r="E193" s="7" t="n">
        <v>49</v>
      </c>
      <c r="F193" s="18" t="s">
        <v>385</v>
      </c>
      <c r="G193" s="9" t="s">
        <v>15</v>
      </c>
      <c r="H193" s="6"/>
      <c r="I193" s="7"/>
      <c r="J193" s="6"/>
    </row>
    <row r="194" customFormat="false" ht="18" hidden="false" customHeight="true" outlineLevel="0" collapsed="false">
      <c r="A194" s="10" t="n">
        <v>192</v>
      </c>
      <c r="B194" s="11" t="s">
        <v>418</v>
      </c>
      <c r="C194" s="12" t="s">
        <v>419</v>
      </c>
      <c r="D194" s="12" t="s">
        <v>420</v>
      </c>
      <c r="E194" s="13" t="n">
        <v>0</v>
      </c>
      <c r="F194" s="15" t="s">
        <v>79</v>
      </c>
      <c r="G194" s="14" t="s">
        <v>15</v>
      </c>
      <c r="H194" s="12"/>
      <c r="I194" s="13"/>
      <c r="J194" s="12"/>
    </row>
    <row r="195" customFormat="false" ht="18" hidden="false" customHeight="true" outlineLevel="0" collapsed="false">
      <c r="A195" s="4" t="n">
        <v>193</v>
      </c>
      <c r="B195" s="5" t="s">
        <v>421</v>
      </c>
      <c r="C195" s="6" t="s">
        <v>422</v>
      </c>
      <c r="D195" s="6" t="s">
        <v>423</v>
      </c>
      <c r="E195" s="7" t="n">
        <v>0</v>
      </c>
      <c r="F195" s="18" t="s">
        <v>385</v>
      </c>
      <c r="G195" s="9" t="s">
        <v>15</v>
      </c>
      <c r="H195" s="6"/>
      <c r="I195" s="7"/>
      <c r="J195" s="6"/>
    </row>
    <row r="196" customFormat="false" ht="18" hidden="false" customHeight="true" outlineLevel="0" collapsed="false">
      <c r="A196" s="10" t="n">
        <v>194</v>
      </c>
      <c r="B196" s="11" t="s">
        <v>424</v>
      </c>
      <c r="C196" s="12" t="s">
        <v>425</v>
      </c>
      <c r="D196" s="12" t="s">
        <v>423</v>
      </c>
      <c r="E196" s="13" t="n">
        <v>95</v>
      </c>
      <c r="F196" s="18" t="s">
        <v>385</v>
      </c>
      <c r="G196" s="14" t="s">
        <v>15</v>
      </c>
      <c r="H196" s="12"/>
      <c r="I196" s="13"/>
      <c r="J196" s="12"/>
    </row>
    <row r="197" customFormat="false" ht="18" hidden="false" customHeight="true" outlineLevel="0" collapsed="false">
      <c r="A197" s="4" t="n">
        <v>195</v>
      </c>
      <c r="B197" s="5" t="s">
        <v>426</v>
      </c>
      <c r="C197" s="6" t="s">
        <v>427</v>
      </c>
      <c r="D197" s="6" t="s">
        <v>423</v>
      </c>
      <c r="E197" s="7" t="n">
        <v>0</v>
      </c>
      <c r="F197" s="18" t="s">
        <v>385</v>
      </c>
      <c r="G197" s="9" t="s">
        <v>15</v>
      </c>
      <c r="H197" s="6"/>
      <c r="I197" s="7"/>
      <c r="J197" s="6"/>
    </row>
    <row r="198" customFormat="false" ht="18" hidden="false" customHeight="true" outlineLevel="0" collapsed="false">
      <c r="A198" s="10" t="n">
        <v>196</v>
      </c>
      <c r="B198" s="11" t="s">
        <v>428</v>
      </c>
      <c r="C198" s="12" t="s">
        <v>429</v>
      </c>
      <c r="D198" s="12" t="s">
        <v>423</v>
      </c>
      <c r="E198" s="13" t="n">
        <v>0</v>
      </c>
      <c r="F198" s="18" t="s">
        <v>385</v>
      </c>
      <c r="G198" s="14" t="s">
        <v>15</v>
      </c>
      <c r="H198" s="12"/>
      <c r="I198" s="13"/>
      <c r="J198" s="12"/>
    </row>
    <row r="199" customFormat="false" ht="18" hidden="false" customHeight="true" outlineLevel="0" collapsed="false">
      <c r="A199" s="4" t="n">
        <v>197</v>
      </c>
      <c r="B199" s="5" t="s">
        <v>430</v>
      </c>
      <c r="C199" s="6" t="s">
        <v>431</v>
      </c>
      <c r="D199" s="6" t="s">
        <v>432</v>
      </c>
      <c r="E199" s="7" t="n">
        <v>0</v>
      </c>
      <c r="F199" s="18" t="s">
        <v>385</v>
      </c>
      <c r="G199" s="9" t="s">
        <v>15</v>
      </c>
      <c r="H199" s="6"/>
      <c r="I199" s="7"/>
      <c r="J199" s="6"/>
    </row>
    <row r="200" customFormat="false" ht="18" hidden="false" customHeight="true" outlineLevel="0" collapsed="false">
      <c r="A200" s="10" t="n">
        <v>198</v>
      </c>
      <c r="B200" s="11" t="s">
        <v>433</v>
      </c>
      <c r="C200" s="12" t="s">
        <v>434</v>
      </c>
      <c r="D200" s="12" t="s">
        <v>432</v>
      </c>
      <c r="E200" s="13" t="n">
        <v>0</v>
      </c>
      <c r="F200" s="18" t="s">
        <v>385</v>
      </c>
      <c r="G200" s="14" t="s">
        <v>15</v>
      </c>
      <c r="H200" s="12"/>
      <c r="I200" s="13"/>
      <c r="J200" s="12"/>
    </row>
    <row r="201" customFormat="false" ht="18" hidden="false" customHeight="true" outlineLevel="0" collapsed="false">
      <c r="A201" s="4" t="n">
        <v>199</v>
      </c>
      <c r="B201" s="5" t="s">
        <v>435</v>
      </c>
      <c r="C201" s="6" t="s">
        <v>436</v>
      </c>
      <c r="D201" s="6" t="s">
        <v>432</v>
      </c>
      <c r="E201" s="7" t="n">
        <v>0</v>
      </c>
      <c r="F201" s="18" t="s">
        <v>385</v>
      </c>
      <c r="G201" s="9" t="s">
        <v>15</v>
      </c>
      <c r="H201" s="6"/>
      <c r="I201" s="7"/>
      <c r="J201" s="6"/>
    </row>
    <row r="202" customFormat="false" ht="18" hidden="false" customHeight="true" outlineLevel="0" collapsed="false">
      <c r="A202" s="10" t="n">
        <v>200</v>
      </c>
      <c r="B202" s="11" t="s">
        <v>437</v>
      </c>
      <c r="C202" s="12" t="s">
        <v>438</v>
      </c>
      <c r="D202" s="12" t="s">
        <v>439</v>
      </c>
      <c r="E202" s="13" t="n">
        <v>0</v>
      </c>
      <c r="F202" s="15" t="s">
        <v>79</v>
      </c>
      <c r="G202" s="14" t="s">
        <v>15</v>
      </c>
      <c r="H202" s="12"/>
      <c r="I202" s="13"/>
      <c r="J202" s="12"/>
    </row>
    <row r="203" customFormat="false" ht="18" hidden="false" customHeight="true" outlineLevel="0" collapsed="false">
      <c r="A203" s="4" t="n">
        <v>201</v>
      </c>
      <c r="B203" s="5" t="s">
        <v>440</v>
      </c>
      <c r="C203" s="6" t="s">
        <v>441</v>
      </c>
      <c r="D203" s="6" t="s">
        <v>442</v>
      </c>
      <c r="E203" s="7" t="n">
        <v>0</v>
      </c>
      <c r="F203" s="18" t="s">
        <v>385</v>
      </c>
      <c r="G203" s="9" t="s">
        <v>15</v>
      </c>
      <c r="H203" s="6"/>
      <c r="I203" s="7"/>
      <c r="J203" s="6"/>
    </row>
    <row r="204" customFormat="false" ht="18" hidden="false" customHeight="true" outlineLevel="0" collapsed="false">
      <c r="A204" s="10" t="n">
        <v>202</v>
      </c>
      <c r="B204" s="11" t="s">
        <v>443</v>
      </c>
      <c r="C204" s="12" t="s">
        <v>444</v>
      </c>
      <c r="D204" s="12" t="s">
        <v>445</v>
      </c>
      <c r="E204" s="13" t="n">
        <v>25</v>
      </c>
      <c r="F204" s="15" t="s">
        <v>79</v>
      </c>
      <c r="G204" s="14" t="s">
        <v>15</v>
      </c>
      <c r="H204" s="12"/>
      <c r="I204" s="13"/>
      <c r="J204" s="12"/>
    </row>
    <row r="205" customFormat="false" ht="18" hidden="false" customHeight="true" outlineLevel="0" collapsed="false">
      <c r="A205" s="4" t="n">
        <v>203</v>
      </c>
      <c r="B205" s="5" t="s">
        <v>446</v>
      </c>
      <c r="C205" s="6" t="s">
        <v>447</v>
      </c>
      <c r="D205" s="6" t="s">
        <v>448</v>
      </c>
      <c r="E205" s="7" t="n">
        <v>0</v>
      </c>
      <c r="F205" s="17" t="s">
        <v>119</v>
      </c>
      <c r="G205" s="9" t="s">
        <v>15</v>
      </c>
      <c r="H205" s="6"/>
      <c r="I205" s="7"/>
      <c r="J205" s="6"/>
    </row>
    <row r="206" customFormat="false" ht="18" hidden="false" customHeight="true" outlineLevel="0" collapsed="false">
      <c r="A206" s="10" t="n">
        <v>204</v>
      </c>
      <c r="B206" s="11" t="s">
        <v>449</v>
      </c>
      <c r="C206" s="12" t="s">
        <v>450</v>
      </c>
      <c r="D206" s="12" t="s">
        <v>448</v>
      </c>
      <c r="E206" s="13" t="n">
        <v>0</v>
      </c>
      <c r="F206" s="17" t="s">
        <v>119</v>
      </c>
      <c r="G206" s="14" t="s">
        <v>15</v>
      </c>
      <c r="H206" s="12"/>
      <c r="I206" s="13"/>
      <c r="J206" s="12"/>
    </row>
    <row r="207" customFormat="false" ht="18" hidden="false" customHeight="true" outlineLevel="0" collapsed="false">
      <c r="A207" s="4" t="n">
        <v>205</v>
      </c>
      <c r="B207" s="5" t="s">
        <v>451</v>
      </c>
      <c r="C207" s="6" t="s">
        <v>452</v>
      </c>
      <c r="D207" s="6" t="s">
        <v>448</v>
      </c>
      <c r="E207" s="7" t="n">
        <v>0</v>
      </c>
      <c r="F207" s="17" t="s">
        <v>119</v>
      </c>
      <c r="G207" s="9" t="s">
        <v>15</v>
      </c>
      <c r="H207" s="6"/>
      <c r="I207" s="7"/>
      <c r="J207" s="6"/>
    </row>
    <row r="208" customFormat="false" ht="18" hidden="false" customHeight="true" outlineLevel="0" collapsed="false">
      <c r="A208" s="10" t="n">
        <v>206</v>
      </c>
      <c r="B208" s="11" t="s">
        <v>453</v>
      </c>
      <c r="C208" s="12" t="s">
        <v>454</v>
      </c>
      <c r="D208" s="12" t="s">
        <v>448</v>
      </c>
      <c r="E208" s="13" t="n">
        <v>0</v>
      </c>
      <c r="F208" s="17" t="s">
        <v>119</v>
      </c>
      <c r="G208" s="14" t="s">
        <v>15</v>
      </c>
      <c r="H208" s="12"/>
      <c r="I208" s="13"/>
      <c r="J208" s="12"/>
    </row>
    <row r="209" customFormat="false" ht="18" hidden="false" customHeight="true" outlineLevel="0" collapsed="false">
      <c r="A209" s="4" t="n">
        <v>207</v>
      </c>
      <c r="B209" s="5" t="s">
        <v>455</v>
      </c>
      <c r="C209" s="6" t="s">
        <v>456</v>
      </c>
      <c r="D209" s="6" t="s">
        <v>448</v>
      </c>
      <c r="E209" s="7" t="n">
        <v>0</v>
      </c>
      <c r="F209" s="17" t="s">
        <v>119</v>
      </c>
      <c r="G209" s="9" t="s">
        <v>15</v>
      </c>
      <c r="H209" s="6"/>
      <c r="I209" s="7"/>
      <c r="J209" s="6"/>
    </row>
    <row r="210" customFormat="false" ht="18" hidden="false" customHeight="true" outlineLevel="0" collapsed="false">
      <c r="A210" s="10" t="n">
        <v>208</v>
      </c>
      <c r="B210" s="11" t="s">
        <v>457</v>
      </c>
      <c r="C210" s="12" t="s">
        <v>458</v>
      </c>
      <c r="D210" s="12" t="s">
        <v>448</v>
      </c>
      <c r="E210" s="13" t="n">
        <v>0</v>
      </c>
      <c r="F210" s="17" t="s">
        <v>119</v>
      </c>
      <c r="G210" s="14" t="s">
        <v>15</v>
      </c>
      <c r="H210" s="12"/>
      <c r="I210" s="13"/>
      <c r="J210" s="12"/>
    </row>
    <row r="211" customFormat="false" ht="18" hidden="false" customHeight="true" outlineLevel="0" collapsed="false">
      <c r="A211" s="4" t="n">
        <v>209</v>
      </c>
      <c r="B211" s="5" t="s">
        <v>459</v>
      </c>
      <c r="C211" s="6" t="s">
        <v>460</v>
      </c>
      <c r="D211" s="6" t="s">
        <v>448</v>
      </c>
      <c r="E211" s="7" t="n">
        <v>0</v>
      </c>
      <c r="F211" s="17" t="s">
        <v>119</v>
      </c>
      <c r="G211" s="9" t="s">
        <v>15</v>
      </c>
      <c r="H211" s="6"/>
      <c r="I211" s="7"/>
      <c r="J211" s="6"/>
    </row>
    <row r="212" customFormat="false" ht="18" hidden="false" customHeight="true" outlineLevel="0" collapsed="false">
      <c r="A212" s="10" t="n">
        <v>210</v>
      </c>
      <c r="B212" s="11" t="s">
        <v>461</v>
      </c>
      <c r="C212" s="12" t="s">
        <v>462</v>
      </c>
      <c r="D212" s="12" t="s">
        <v>448</v>
      </c>
      <c r="E212" s="13" t="n">
        <v>0</v>
      </c>
      <c r="F212" s="17" t="s">
        <v>119</v>
      </c>
      <c r="G212" s="14" t="s">
        <v>15</v>
      </c>
      <c r="H212" s="12"/>
      <c r="I212" s="13"/>
      <c r="J212" s="12"/>
    </row>
    <row r="213" customFormat="false" ht="18" hidden="false" customHeight="true" outlineLevel="0" collapsed="false">
      <c r="A213" s="4" t="n">
        <v>211</v>
      </c>
      <c r="B213" s="5" t="s">
        <v>463</v>
      </c>
      <c r="C213" s="6" t="s">
        <v>464</v>
      </c>
      <c r="D213" s="6" t="s">
        <v>448</v>
      </c>
      <c r="E213" s="7" t="n">
        <v>0</v>
      </c>
      <c r="F213" s="17" t="s">
        <v>119</v>
      </c>
      <c r="G213" s="9" t="s">
        <v>15</v>
      </c>
      <c r="H213" s="6"/>
      <c r="I213" s="7"/>
      <c r="J213" s="6"/>
    </row>
    <row r="214" customFormat="false" ht="18" hidden="false" customHeight="true" outlineLevel="0" collapsed="false">
      <c r="A214" s="10" t="n">
        <v>212</v>
      </c>
      <c r="B214" s="11" t="s">
        <v>465</v>
      </c>
      <c r="C214" s="12" t="s">
        <v>466</v>
      </c>
      <c r="D214" s="12" t="s">
        <v>448</v>
      </c>
      <c r="E214" s="13" t="n">
        <v>0</v>
      </c>
      <c r="F214" s="17" t="s">
        <v>119</v>
      </c>
      <c r="G214" s="14" t="s">
        <v>15</v>
      </c>
      <c r="H214" s="12"/>
      <c r="I214" s="13"/>
      <c r="J214" s="12"/>
    </row>
    <row r="215" customFormat="false" ht="18" hidden="false" customHeight="true" outlineLevel="0" collapsed="false">
      <c r="A215" s="4" t="n">
        <v>213</v>
      </c>
      <c r="B215" s="5" t="s">
        <v>467</v>
      </c>
      <c r="C215" s="6" t="s">
        <v>468</v>
      </c>
      <c r="D215" s="6" t="s">
        <v>448</v>
      </c>
      <c r="E215" s="7" t="n">
        <v>0</v>
      </c>
      <c r="F215" s="17" t="s">
        <v>119</v>
      </c>
      <c r="G215" s="9" t="s">
        <v>15</v>
      </c>
      <c r="H215" s="6"/>
      <c r="I215" s="7"/>
      <c r="J215" s="6"/>
    </row>
    <row r="216" customFormat="false" ht="18" hidden="false" customHeight="true" outlineLevel="0" collapsed="false">
      <c r="A216" s="10" t="n">
        <v>214</v>
      </c>
      <c r="B216" s="11" t="s">
        <v>469</v>
      </c>
      <c r="C216" s="12" t="s">
        <v>470</v>
      </c>
      <c r="D216" s="12" t="s">
        <v>448</v>
      </c>
      <c r="E216" s="13" t="n">
        <v>0</v>
      </c>
      <c r="F216" s="17" t="s">
        <v>119</v>
      </c>
      <c r="G216" s="14" t="s">
        <v>15</v>
      </c>
      <c r="H216" s="12"/>
      <c r="I216" s="13"/>
      <c r="J216" s="12"/>
    </row>
    <row r="217" customFormat="false" ht="18" hidden="false" customHeight="true" outlineLevel="0" collapsed="false">
      <c r="A217" s="4" t="n">
        <v>215</v>
      </c>
      <c r="B217" s="5" t="s">
        <v>471</v>
      </c>
      <c r="C217" s="6" t="s">
        <v>472</v>
      </c>
      <c r="D217" s="6" t="s">
        <v>448</v>
      </c>
      <c r="E217" s="7" t="n">
        <v>0</v>
      </c>
      <c r="F217" s="17" t="s">
        <v>119</v>
      </c>
      <c r="G217" s="9" t="s">
        <v>15</v>
      </c>
      <c r="H217" s="6"/>
      <c r="I217" s="7"/>
      <c r="J217" s="6"/>
    </row>
    <row r="218" customFormat="false" ht="18" hidden="false" customHeight="true" outlineLevel="0" collapsed="false">
      <c r="A218" s="10" t="n">
        <v>216</v>
      </c>
      <c r="B218" s="11" t="s">
        <v>473</v>
      </c>
      <c r="C218" s="12" t="s">
        <v>474</v>
      </c>
      <c r="D218" s="12" t="s">
        <v>475</v>
      </c>
      <c r="E218" s="13" t="n">
        <v>49</v>
      </c>
      <c r="F218" s="15" t="s">
        <v>79</v>
      </c>
      <c r="G218" s="14" t="s">
        <v>15</v>
      </c>
      <c r="H218" s="12"/>
      <c r="I218" s="13"/>
      <c r="J218" s="12"/>
    </row>
    <row r="219" customFormat="false" ht="18" hidden="false" customHeight="true" outlineLevel="0" collapsed="false">
      <c r="A219" s="4" t="n">
        <v>217</v>
      </c>
      <c r="B219" s="5" t="s">
        <v>476</v>
      </c>
      <c r="C219" s="6" t="s">
        <v>477</v>
      </c>
      <c r="D219" s="6" t="s">
        <v>478</v>
      </c>
      <c r="E219" s="7" t="n">
        <v>0</v>
      </c>
      <c r="F219" s="17" t="s">
        <v>119</v>
      </c>
      <c r="G219" s="9" t="s">
        <v>15</v>
      </c>
      <c r="H219" s="6"/>
      <c r="I219" s="7"/>
      <c r="J219" s="6"/>
    </row>
    <row r="220" customFormat="false" ht="18" hidden="false" customHeight="true" outlineLevel="0" collapsed="false">
      <c r="A220" s="10" t="n">
        <v>218</v>
      </c>
      <c r="B220" s="11" t="s">
        <v>479</v>
      </c>
      <c r="C220" s="12" t="s">
        <v>480</v>
      </c>
      <c r="D220" s="12" t="s">
        <v>478</v>
      </c>
      <c r="E220" s="13" t="n">
        <v>0</v>
      </c>
      <c r="F220" s="17" t="s">
        <v>119</v>
      </c>
      <c r="G220" s="14" t="s">
        <v>15</v>
      </c>
      <c r="H220" s="12"/>
      <c r="I220" s="13"/>
      <c r="J220" s="12"/>
    </row>
    <row r="221" customFormat="false" ht="18" hidden="false" customHeight="true" outlineLevel="0" collapsed="false">
      <c r="A221" s="4" t="n">
        <v>219</v>
      </c>
      <c r="B221" s="5" t="s">
        <v>481</v>
      </c>
      <c r="C221" s="6" t="s">
        <v>482</v>
      </c>
      <c r="D221" s="6" t="s">
        <v>478</v>
      </c>
      <c r="E221" s="7" t="n">
        <v>0</v>
      </c>
      <c r="F221" s="17" t="s">
        <v>119</v>
      </c>
      <c r="G221" s="9" t="s">
        <v>15</v>
      </c>
      <c r="H221" s="6"/>
      <c r="I221" s="7"/>
      <c r="J221" s="6"/>
    </row>
    <row r="222" customFormat="false" ht="18" hidden="false" customHeight="true" outlineLevel="0" collapsed="false">
      <c r="A222" s="10" t="n">
        <v>220</v>
      </c>
      <c r="B222" s="11" t="s">
        <v>483</v>
      </c>
      <c r="C222" s="12" t="s">
        <v>484</v>
      </c>
      <c r="D222" s="12" t="s">
        <v>478</v>
      </c>
      <c r="E222" s="13" t="n">
        <v>0</v>
      </c>
      <c r="F222" s="17" t="s">
        <v>119</v>
      </c>
      <c r="G222" s="14" t="s">
        <v>15</v>
      </c>
      <c r="H222" s="12"/>
      <c r="I222" s="13"/>
      <c r="J222" s="12"/>
    </row>
    <row r="223" customFormat="false" ht="18" hidden="false" customHeight="true" outlineLevel="0" collapsed="false">
      <c r="A223" s="4" t="n">
        <v>221</v>
      </c>
      <c r="B223" s="5" t="s">
        <v>485</v>
      </c>
      <c r="C223" s="6" t="s">
        <v>486</v>
      </c>
      <c r="D223" s="6" t="s">
        <v>478</v>
      </c>
      <c r="E223" s="7" t="n">
        <v>0</v>
      </c>
      <c r="F223" s="17" t="s">
        <v>119</v>
      </c>
      <c r="G223" s="9" t="s">
        <v>15</v>
      </c>
      <c r="H223" s="6"/>
      <c r="I223" s="7"/>
      <c r="J223" s="6"/>
    </row>
    <row r="224" customFormat="false" ht="18" hidden="false" customHeight="true" outlineLevel="0" collapsed="false">
      <c r="A224" s="10" t="n">
        <v>222</v>
      </c>
      <c r="B224" s="11" t="s">
        <v>487</v>
      </c>
      <c r="C224" s="12" t="s">
        <v>488</v>
      </c>
      <c r="D224" s="12" t="s">
        <v>478</v>
      </c>
      <c r="E224" s="13" t="n">
        <v>95</v>
      </c>
      <c r="F224" s="17" t="s">
        <v>119</v>
      </c>
      <c r="G224" s="14" t="s">
        <v>15</v>
      </c>
      <c r="H224" s="12"/>
      <c r="I224" s="13"/>
      <c r="J224" s="12"/>
    </row>
    <row r="225" customFormat="false" ht="18" hidden="false" customHeight="true" outlineLevel="0" collapsed="false">
      <c r="A225" s="4" t="n">
        <v>223</v>
      </c>
      <c r="B225" s="5" t="s">
        <v>489</v>
      </c>
      <c r="C225" s="6" t="s">
        <v>490</v>
      </c>
      <c r="D225" s="6" t="s">
        <v>491</v>
      </c>
      <c r="E225" s="7" t="n">
        <v>0</v>
      </c>
      <c r="F225" s="15" t="s">
        <v>79</v>
      </c>
      <c r="G225" s="9" t="s">
        <v>15</v>
      </c>
      <c r="H225" s="6"/>
      <c r="I225" s="7"/>
      <c r="J225" s="6"/>
    </row>
    <row r="226" customFormat="false" ht="18" hidden="false" customHeight="true" outlineLevel="0" collapsed="false">
      <c r="A226" s="10" t="n">
        <v>224</v>
      </c>
      <c r="B226" s="11" t="s">
        <v>492</v>
      </c>
      <c r="C226" s="12" t="s">
        <v>493</v>
      </c>
      <c r="D226" s="12" t="s">
        <v>494</v>
      </c>
      <c r="E226" s="13" t="n">
        <v>75</v>
      </c>
      <c r="F226" s="16" t="s">
        <v>86</v>
      </c>
      <c r="G226" s="14" t="s">
        <v>15</v>
      </c>
      <c r="H226" s="12"/>
      <c r="I226" s="13"/>
      <c r="J226" s="12"/>
    </row>
    <row r="227" customFormat="false" ht="18" hidden="false" customHeight="true" outlineLevel="0" collapsed="false">
      <c r="A227" s="4" t="n">
        <v>225</v>
      </c>
      <c r="B227" s="5" t="s">
        <v>495</v>
      </c>
      <c r="C227" s="6" t="s">
        <v>496</v>
      </c>
      <c r="D227" s="6" t="s">
        <v>494</v>
      </c>
      <c r="E227" s="7" t="n">
        <v>75</v>
      </c>
      <c r="F227" s="16" t="s">
        <v>86</v>
      </c>
      <c r="G227" s="9" t="s">
        <v>15</v>
      </c>
      <c r="H227" s="6"/>
      <c r="I227" s="7"/>
      <c r="J227" s="6"/>
    </row>
    <row r="228" customFormat="false" ht="18" hidden="false" customHeight="true" outlineLevel="0" collapsed="false">
      <c r="A228" s="10" t="n">
        <v>226</v>
      </c>
      <c r="B228" s="11" t="s">
        <v>497</v>
      </c>
      <c r="C228" s="12" t="s">
        <v>498</v>
      </c>
      <c r="D228" s="12" t="s">
        <v>494</v>
      </c>
      <c r="E228" s="13" t="n">
        <v>0</v>
      </c>
      <c r="F228" s="16" t="s">
        <v>86</v>
      </c>
      <c r="G228" s="14" t="s">
        <v>15</v>
      </c>
      <c r="H228" s="12"/>
      <c r="I228" s="13"/>
      <c r="J228" s="12"/>
    </row>
    <row r="229" customFormat="false" ht="18" hidden="false" customHeight="true" outlineLevel="0" collapsed="false">
      <c r="A229" s="4" t="n">
        <v>227</v>
      </c>
      <c r="B229" s="5" t="s">
        <v>499</v>
      </c>
      <c r="C229" s="6" t="s">
        <v>500</v>
      </c>
      <c r="D229" s="6" t="s">
        <v>494</v>
      </c>
      <c r="E229" s="7" t="n">
        <v>0</v>
      </c>
      <c r="F229" s="16" t="s">
        <v>86</v>
      </c>
      <c r="G229" s="9" t="s">
        <v>15</v>
      </c>
      <c r="H229" s="6"/>
      <c r="I229" s="7"/>
      <c r="J229" s="6"/>
    </row>
    <row r="230" customFormat="false" ht="18" hidden="false" customHeight="true" outlineLevel="0" collapsed="false">
      <c r="A230" s="10" t="n">
        <v>228</v>
      </c>
      <c r="B230" s="11" t="s">
        <v>501</v>
      </c>
      <c r="C230" s="12" t="s">
        <v>502</v>
      </c>
      <c r="D230" s="12" t="s">
        <v>494</v>
      </c>
      <c r="E230" s="13" t="n">
        <v>0</v>
      </c>
      <c r="F230" s="16" t="s">
        <v>86</v>
      </c>
      <c r="G230" s="14" t="s">
        <v>15</v>
      </c>
      <c r="H230" s="12"/>
      <c r="I230" s="13"/>
      <c r="J230" s="12"/>
    </row>
    <row r="231" customFormat="false" ht="18" hidden="false" customHeight="true" outlineLevel="0" collapsed="false">
      <c r="A231" s="4" t="n">
        <v>229</v>
      </c>
      <c r="B231" s="5" t="s">
        <v>503</v>
      </c>
      <c r="C231" s="6" t="s">
        <v>504</v>
      </c>
      <c r="D231" s="6" t="s">
        <v>494</v>
      </c>
      <c r="E231" s="7" t="n">
        <v>400</v>
      </c>
      <c r="F231" s="16" t="s">
        <v>86</v>
      </c>
      <c r="G231" s="9" t="s">
        <v>15</v>
      </c>
      <c r="H231" s="6"/>
      <c r="I231" s="7"/>
      <c r="J231" s="6"/>
    </row>
    <row r="232" customFormat="false" ht="18" hidden="false" customHeight="true" outlineLevel="0" collapsed="false">
      <c r="A232" s="10" t="n">
        <v>230</v>
      </c>
      <c r="B232" s="11" t="s">
        <v>505</v>
      </c>
      <c r="C232" s="12" t="s">
        <v>506</v>
      </c>
      <c r="D232" s="12" t="s">
        <v>494</v>
      </c>
      <c r="E232" s="13" t="n">
        <v>0</v>
      </c>
      <c r="F232" s="16" t="s">
        <v>86</v>
      </c>
      <c r="G232" s="14" t="s">
        <v>15</v>
      </c>
      <c r="H232" s="12"/>
      <c r="I232" s="13"/>
      <c r="J232" s="12"/>
    </row>
    <row r="233" customFormat="false" ht="18" hidden="false" customHeight="true" outlineLevel="0" collapsed="false">
      <c r="A233" s="4" t="n">
        <v>231</v>
      </c>
      <c r="B233" s="5" t="s">
        <v>507</v>
      </c>
      <c r="C233" s="6" t="s">
        <v>508</v>
      </c>
      <c r="D233" s="6" t="s">
        <v>494</v>
      </c>
      <c r="E233" s="7" t="n">
        <v>95</v>
      </c>
      <c r="F233" s="16" t="s">
        <v>86</v>
      </c>
      <c r="G233" s="9" t="s">
        <v>15</v>
      </c>
      <c r="H233" s="6"/>
      <c r="I233" s="7"/>
      <c r="J233" s="6"/>
    </row>
    <row r="234" customFormat="false" ht="18" hidden="false" customHeight="true" outlineLevel="0" collapsed="false">
      <c r="A234" s="10" t="n">
        <v>232</v>
      </c>
      <c r="B234" s="11" t="s">
        <v>509</v>
      </c>
      <c r="C234" s="12" t="s">
        <v>510</v>
      </c>
      <c r="D234" s="12" t="s">
        <v>494</v>
      </c>
      <c r="E234" s="13" t="n">
        <v>0</v>
      </c>
      <c r="F234" s="16" t="s">
        <v>86</v>
      </c>
      <c r="G234" s="14" t="s">
        <v>15</v>
      </c>
      <c r="H234" s="12"/>
      <c r="I234" s="13"/>
      <c r="J234" s="12"/>
    </row>
    <row r="235" customFormat="false" ht="18" hidden="false" customHeight="true" outlineLevel="0" collapsed="false">
      <c r="A235" s="4" t="n">
        <v>233</v>
      </c>
      <c r="B235" s="5" t="s">
        <v>511</v>
      </c>
      <c r="C235" s="6" t="s">
        <v>512</v>
      </c>
      <c r="D235" s="6" t="s">
        <v>494</v>
      </c>
      <c r="E235" s="7" t="n">
        <v>0</v>
      </c>
      <c r="F235" s="16" t="s">
        <v>86</v>
      </c>
      <c r="G235" s="9" t="s">
        <v>15</v>
      </c>
      <c r="H235" s="6"/>
      <c r="I235" s="7"/>
      <c r="J235" s="6"/>
    </row>
    <row r="236" customFormat="false" ht="18" hidden="false" customHeight="true" outlineLevel="0" collapsed="false">
      <c r="A236" s="10" t="n">
        <v>234</v>
      </c>
      <c r="B236" s="11" t="s">
        <v>513</v>
      </c>
      <c r="C236" s="12" t="s">
        <v>514</v>
      </c>
      <c r="D236" s="12" t="s">
        <v>494</v>
      </c>
      <c r="E236" s="13" t="n">
        <v>0</v>
      </c>
      <c r="F236" s="16" t="s">
        <v>86</v>
      </c>
      <c r="G236" s="14" t="s">
        <v>15</v>
      </c>
      <c r="H236" s="12"/>
      <c r="I236" s="13"/>
      <c r="J236" s="12"/>
    </row>
    <row r="237" customFormat="false" ht="18" hidden="false" customHeight="true" outlineLevel="0" collapsed="false">
      <c r="A237" s="4" t="n">
        <v>235</v>
      </c>
      <c r="B237" s="5" t="s">
        <v>515</v>
      </c>
      <c r="C237" s="6" t="s">
        <v>516</v>
      </c>
      <c r="D237" s="6" t="s">
        <v>494</v>
      </c>
      <c r="E237" s="7" t="n">
        <v>0</v>
      </c>
      <c r="F237" s="16" t="s">
        <v>86</v>
      </c>
      <c r="G237" s="9" t="s">
        <v>15</v>
      </c>
      <c r="H237" s="6"/>
      <c r="I237" s="7"/>
      <c r="J237" s="6"/>
    </row>
    <row r="238" customFormat="false" ht="18" hidden="false" customHeight="true" outlineLevel="0" collapsed="false">
      <c r="A238" s="10" t="n">
        <v>236</v>
      </c>
      <c r="B238" s="11" t="s">
        <v>517</v>
      </c>
      <c r="C238" s="12" t="s">
        <v>518</v>
      </c>
      <c r="D238" s="12" t="s">
        <v>494</v>
      </c>
      <c r="E238" s="13" t="n">
        <v>0</v>
      </c>
      <c r="F238" s="16" t="s">
        <v>86</v>
      </c>
      <c r="G238" s="14" t="s">
        <v>15</v>
      </c>
      <c r="H238" s="12"/>
      <c r="I238" s="13"/>
      <c r="J238" s="12"/>
    </row>
    <row r="239" customFormat="false" ht="18" hidden="false" customHeight="true" outlineLevel="0" collapsed="false">
      <c r="A239" s="4" t="n">
        <v>237</v>
      </c>
      <c r="B239" s="5" t="s">
        <v>519</v>
      </c>
      <c r="C239" s="6" t="s">
        <v>520</v>
      </c>
      <c r="D239" s="6" t="s">
        <v>521</v>
      </c>
      <c r="E239" s="7" t="n">
        <v>0</v>
      </c>
      <c r="F239" s="15" t="s">
        <v>79</v>
      </c>
      <c r="G239" s="9" t="s">
        <v>15</v>
      </c>
      <c r="H239" s="6"/>
      <c r="I239" s="7"/>
      <c r="J239" s="6"/>
    </row>
    <row r="240" customFormat="false" ht="18" hidden="false" customHeight="true" outlineLevel="0" collapsed="false">
      <c r="A240" s="10" t="n">
        <v>238</v>
      </c>
      <c r="B240" s="11" t="s">
        <v>522</v>
      </c>
      <c r="C240" s="12" t="s">
        <v>523</v>
      </c>
      <c r="D240" s="12" t="s">
        <v>521</v>
      </c>
      <c r="E240" s="13" t="n">
        <v>0</v>
      </c>
      <c r="F240" s="15" t="s">
        <v>79</v>
      </c>
      <c r="G240" s="14" t="s">
        <v>15</v>
      </c>
      <c r="H240" s="12"/>
      <c r="I240" s="13"/>
      <c r="J240" s="12"/>
    </row>
    <row r="241" customFormat="false" ht="18" hidden="false" customHeight="true" outlineLevel="0" collapsed="false">
      <c r="A241" s="4" t="n">
        <v>239</v>
      </c>
      <c r="B241" s="5" t="s">
        <v>524</v>
      </c>
      <c r="C241" s="6" t="s">
        <v>525</v>
      </c>
      <c r="D241" s="6" t="s">
        <v>526</v>
      </c>
      <c r="E241" s="7" t="n">
        <v>0</v>
      </c>
      <c r="F241" s="15" t="s">
        <v>79</v>
      </c>
      <c r="G241" s="9" t="s">
        <v>15</v>
      </c>
      <c r="H241" s="6"/>
      <c r="I241" s="7"/>
      <c r="J241" s="6"/>
    </row>
    <row r="242" customFormat="false" ht="18" hidden="false" customHeight="true" outlineLevel="0" collapsed="false">
      <c r="A242" s="10" t="n">
        <v>240</v>
      </c>
      <c r="B242" s="11" t="s">
        <v>527</v>
      </c>
      <c r="C242" s="12" t="s">
        <v>528</v>
      </c>
      <c r="D242" s="12" t="s">
        <v>526</v>
      </c>
      <c r="E242" s="13" t="n">
        <v>0</v>
      </c>
      <c r="F242" s="15" t="s">
        <v>79</v>
      </c>
      <c r="G242" s="14" t="s">
        <v>15</v>
      </c>
      <c r="H242" s="12"/>
      <c r="I242" s="13"/>
      <c r="J242" s="12"/>
    </row>
    <row r="243" customFormat="false" ht="18" hidden="false" customHeight="true" outlineLevel="0" collapsed="false">
      <c r="A243" s="4" t="n">
        <v>241</v>
      </c>
      <c r="B243" s="5" t="s">
        <v>529</v>
      </c>
      <c r="C243" s="6" t="s">
        <v>530</v>
      </c>
      <c r="D243" s="6" t="s">
        <v>531</v>
      </c>
      <c r="E243" s="7" t="n">
        <v>0</v>
      </c>
      <c r="F243" s="16" t="s">
        <v>86</v>
      </c>
      <c r="G243" s="9" t="s">
        <v>15</v>
      </c>
      <c r="H243" s="6"/>
      <c r="I243" s="7"/>
      <c r="J243" s="6"/>
    </row>
    <row r="244" customFormat="false" ht="18" hidden="false" customHeight="true" outlineLevel="0" collapsed="false">
      <c r="A244" s="10" t="n">
        <v>242</v>
      </c>
      <c r="B244" s="11" t="s">
        <v>532</v>
      </c>
      <c r="C244" s="12" t="s">
        <v>533</v>
      </c>
      <c r="D244" s="12" t="s">
        <v>531</v>
      </c>
      <c r="E244" s="13" t="n">
        <v>0</v>
      </c>
      <c r="F244" s="16" t="s">
        <v>86</v>
      </c>
      <c r="G244" s="14" t="s">
        <v>15</v>
      </c>
      <c r="H244" s="12"/>
      <c r="I244" s="13"/>
      <c r="J244" s="12"/>
    </row>
    <row r="245" customFormat="false" ht="18" hidden="false" customHeight="true" outlineLevel="0" collapsed="false">
      <c r="A245" s="4" t="n">
        <v>243</v>
      </c>
      <c r="B245" s="5" t="s">
        <v>534</v>
      </c>
      <c r="C245" s="6" t="s">
        <v>535</v>
      </c>
      <c r="D245" s="6" t="s">
        <v>531</v>
      </c>
      <c r="E245" s="7" t="n">
        <v>0</v>
      </c>
      <c r="F245" s="16" t="s">
        <v>86</v>
      </c>
      <c r="G245" s="9" t="s">
        <v>15</v>
      </c>
      <c r="H245" s="6"/>
      <c r="I245" s="7"/>
      <c r="J245" s="6"/>
    </row>
    <row r="246" customFormat="false" ht="18" hidden="false" customHeight="true" outlineLevel="0" collapsed="false">
      <c r="A246" s="10" t="n">
        <v>244</v>
      </c>
      <c r="B246" s="11" t="s">
        <v>536</v>
      </c>
      <c r="C246" s="12" t="s">
        <v>537</v>
      </c>
      <c r="D246" s="12" t="s">
        <v>531</v>
      </c>
      <c r="E246" s="13" t="n">
        <v>0</v>
      </c>
      <c r="F246" s="16" t="s">
        <v>86</v>
      </c>
      <c r="G246" s="14" t="s">
        <v>15</v>
      </c>
      <c r="H246" s="12"/>
      <c r="I246" s="13"/>
      <c r="J246" s="12"/>
    </row>
    <row r="247" customFormat="false" ht="18" hidden="false" customHeight="true" outlineLevel="0" collapsed="false">
      <c r="A247" s="4" t="n">
        <v>245</v>
      </c>
      <c r="B247" s="5" t="s">
        <v>538</v>
      </c>
      <c r="C247" s="6" t="s">
        <v>539</v>
      </c>
      <c r="D247" s="6" t="s">
        <v>531</v>
      </c>
      <c r="E247" s="7" t="n">
        <v>95</v>
      </c>
      <c r="F247" s="16" t="s">
        <v>86</v>
      </c>
      <c r="G247" s="9" t="s">
        <v>15</v>
      </c>
      <c r="H247" s="6"/>
      <c r="I247" s="7"/>
      <c r="J247" s="6"/>
    </row>
    <row r="248" customFormat="false" ht="18" hidden="false" customHeight="true" outlineLevel="0" collapsed="false">
      <c r="A248" s="10" t="n">
        <v>246</v>
      </c>
      <c r="B248" s="11" t="s">
        <v>540</v>
      </c>
      <c r="C248" s="12" t="s">
        <v>541</v>
      </c>
      <c r="D248" s="12" t="s">
        <v>531</v>
      </c>
      <c r="E248" s="13" t="n">
        <v>0</v>
      </c>
      <c r="F248" s="16" t="s">
        <v>86</v>
      </c>
      <c r="G248" s="14" t="s">
        <v>15</v>
      </c>
      <c r="H248" s="12"/>
      <c r="I248" s="13"/>
      <c r="J248" s="12"/>
    </row>
    <row r="249" customFormat="false" ht="18" hidden="false" customHeight="true" outlineLevel="0" collapsed="false">
      <c r="A249" s="4" t="n">
        <v>247</v>
      </c>
      <c r="B249" s="5" t="s">
        <v>542</v>
      </c>
      <c r="C249" s="6" t="s">
        <v>543</v>
      </c>
      <c r="D249" s="6" t="s">
        <v>531</v>
      </c>
      <c r="E249" s="7" t="n">
        <v>0</v>
      </c>
      <c r="F249" s="16" t="s">
        <v>86</v>
      </c>
      <c r="G249" s="9" t="s">
        <v>15</v>
      </c>
      <c r="H249" s="6"/>
      <c r="I249" s="7"/>
      <c r="J249" s="6"/>
    </row>
    <row r="250" customFormat="false" ht="18" hidden="false" customHeight="true" outlineLevel="0" collapsed="false">
      <c r="A250" s="10" t="n">
        <v>248</v>
      </c>
      <c r="B250" s="11" t="s">
        <v>544</v>
      </c>
      <c r="C250" s="12" t="s">
        <v>545</v>
      </c>
      <c r="D250" s="12" t="s">
        <v>531</v>
      </c>
      <c r="E250" s="13" t="n">
        <v>0</v>
      </c>
      <c r="F250" s="16" t="s">
        <v>86</v>
      </c>
      <c r="G250" s="14" t="s">
        <v>15</v>
      </c>
      <c r="H250" s="12"/>
      <c r="I250" s="13"/>
      <c r="J250" s="12"/>
    </row>
  </sheetData>
  <mergeCells count="1">
    <mergeCell ref="A1:J1"/>
  </mergeCells>
  <dataValidations count="1">
    <dataValidation allowBlank="true" errorStyle="stop" operator="between" showDropDown="false" showErrorMessage="false" showInputMessage="false" sqref="G3:G250" type="list">
      <formula1>"⬜ 待研究,🔄 研究中,✅ 已完成,⏸ 暫緩"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30"/>
  </cols>
  <sheetData>
    <row r="1" customFormat="false" ht="34.5" hidden="false" customHeight="true" outlineLevel="0" collapsed="false">
      <c r="A1" s="1" t="s">
        <v>546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4</v>
      </c>
      <c r="B2" s="3" t="s">
        <v>547</v>
      </c>
      <c r="C2" s="3" t="s">
        <v>548</v>
      </c>
      <c r="D2" s="3" t="s">
        <v>549</v>
      </c>
      <c r="E2" s="3" t="s">
        <v>6</v>
      </c>
      <c r="F2" s="3" t="s">
        <v>7</v>
      </c>
      <c r="G2" s="3" t="s">
        <v>10</v>
      </c>
    </row>
    <row r="3" customFormat="false" ht="18" hidden="false" customHeight="true" outlineLevel="0" collapsed="false">
      <c r="A3" s="19" t="s">
        <v>228</v>
      </c>
      <c r="B3" s="20" t="n">
        <v>42</v>
      </c>
      <c r="C3" s="20" t="n">
        <v>35</v>
      </c>
      <c r="D3" s="21" t="n">
        <f aca="false">B3/35</f>
        <v>1.2</v>
      </c>
      <c r="E3" s="22" t="s">
        <v>550</v>
      </c>
      <c r="F3" s="23" t="s">
        <v>551</v>
      </c>
      <c r="G3" s="24"/>
    </row>
    <row r="4" customFormat="false" ht="18" hidden="false" customHeight="true" outlineLevel="0" collapsed="false">
      <c r="A4" s="19" t="s">
        <v>13</v>
      </c>
      <c r="B4" s="20" t="n">
        <v>31</v>
      </c>
      <c r="C4" s="20" t="n">
        <v>40</v>
      </c>
      <c r="D4" s="21" t="n">
        <f aca="false">B4/40</f>
        <v>0.775</v>
      </c>
      <c r="E4" s="22" t="s">
        <v>550</v>
      </c>
      <c r="F4" s="23" t="s">
        <v>551</v>
      </c>
      <c r="G4" s="24"/>
    </row>
    <row r="5" customFormat="false" ht="18" hidden="false" customHeight="true" outlineLevel="0" collapsed="false">
      <c r="A5" s="19" t="s">
        <v>312</v>
      </c>
      <c r="B5" s="20" t="n">
        <v>22</v>
      </c>
      <c r="C5" s="20" t="n">
        <v>22</v>
      </c>
      <c r="D5" s="21" t="n">
        <f aca="false">B5/22</f>
        <v>1</v>
      </c>
      <c r="E5" s="22" t="s">
        <v>550</v>
      </c>
      <c r="F5" s="23" t="s">
        <v>551</v>
      </c>
      <c r="G5" s="24"/>
    </row>
    <row r="6" customFormat="false" ht="18" hidden="false" customHeight="true" outlineLevel="0" collapsed="false">
      <c r="A6" s="25" t="s">
        <v>191</v>
      </c>
      <c r="B6" s="20" t="n">
        <v>18</v>
      </c>
      <c r="C6" s="20" t="n">
        <v>18</v>
      </c>
      <c r="D6" s="21" t="n">
        <f aca="false">B6/18</f>
        <v>1</v>
      </c>
      <c r="E6" s="26" t="s">
        <v>552</v>
      </c>
      <c r="F6" s="23" t="s">
        <v>551</v>
      </c>
      <c r="G6" s="24"/>
    </row>
    <row r="7" customFormat="false" ht="18" hidden="false" customHeight="true" outlineLevel="0" collapsed="false">
      <c r="A7" s="25" t="s">
        <v>85</v>
      </c>
      <c r="B7" s="20" t="n">
        <v>16</v>
      </c>
      <c r="C7" s="20" t="n">
        <v>18</v>
      </c>
      <c r="D7" s="21" t="n">
        <f aca="false">B7/18</f>
        <v>0.888888888888889</v>
      </c>
      <c r="E7" s="26" t="s">
        <v>552</v>
      </c>
      <c r="F7" s="23" t="s">
        <v>551</v>
      </c>
      <c r="G7" s="24"/>
    </row>
    <row r="8" customFormat="false" ht="18" hidden="false" customHeight="true" outlineLevel="0" collapsed="false">
      <c r="A8" s="25" t="s">
        <v>494</v>
      </c>
      <c r="B8" s="20" t="n">
        <v>13</v>
      </c>
      <c r="C8" s="20" t="n">
        <v>12</v>
      </c>
      <c r="D8" s="21" t="n">
        <f aca="false">B8/12</f>
        <v>1.08333333333333</v>
      </c>
      <c r="E8" s="26" t="s">
        <v>552</v>
      </c>
      <c r="F8" s="23" t="s">
        <v>551</v>
      </c>
      <c r="G8" s="24"/>
    </row>
    <row r="9" customFormat="false" ht="18" hidden="false" customHeight="true" outlineLevel="0" collapsed="false">
      <c r="A9" s="25" t="s">
        <v>531</v>
      </c>
      <c r="B9" s="20" t="n">
        <v>8</v>
      </c>
      <c r="C9" s="20" t="n">
        <v>12</v>
      </c>
      <c r="D9" s="21" t="n">
        <f aca="false">B9/12</f>
        <v>0.666666666666667</v>
      </c>
      <c r="E9" s="26" t="s">
        <v>552</v>
      </c>
      <c r="F9" s="23" t="s">
        <v>551</v>
      </c>
      <c r="G9" s="24"/>
    </row>
    <row r="10" customFormat="false" ht="18" hidden="false" customHeight="true" outlineLevel="0" collapsed="false">
      <c r="A10" s="25" t="s">
        <v>368</v>
      </c>
      <c r="B10" s="20" t="n">
        <v>6</v>
      </c>
      <c r="C10" s="20" t="n">
        <v>7</v>
      </c>
      <c r="D10" s="21" t="n">
        <f aca="false">B10/7</f>
        <v>0.857142857142857</v>
      </c>
      <c r="E10" s="26" t="s">
        <v>552</v>
      </c>
      <c r="F10" s="23" t="s">
        <v>551</v>
      </c>
      <c r="G10" s="24"/>
    </row>
    <row r="11" customFormat="false" ht="18" hidden="false" customHeight="true" outlineLevel="0" collapsed="false">
      <c r="A11" s="27" t="s">
        <v>118</v>
      </c>
      <c r="B11" s="20" t="n">
        <v>21</v>
      </c>
      <c r="C11" s="20" t="n">
        <v>25</v>
      </c>
      <c r="D11" s="21" t="n">
        <f aca="false">B11/25</f>
        <v>0.84</v>
      </c>
      <c r="E11" s="28" t="s">
        <v>553</v>
      </c>
      <c r="F11" s="23" t="s">
        <v>551</v>
      </c>
      <c r="G11" s="24"/>
    </row>
    <row r="12" customFormat="false" ht="18" hidden="false" customHeight="true" outlineLevel="0" collapsed="false">
      <c r="A12" s="27" t="s">
        <v>448</v>
      </c>
      <c r="B12" s="20" t="n">
        <v>13</v>
      </c>
      <c r="C12" s="20" t="n">
        <v>60</v>
      </c>
      <c r="D12" s="21" t="n">
        <f aca="false">B12/60</f>
        <v>0.216666666666667</v>
      </c>
      <c r="E12" s="28" t="s">
        <v>553</v>
      </c>
      <c r="F12" s="23" t="s">
        <v>551</v>
      </c>
      <c r="G12" s="24"/>
    </row>
    <row r="13" customFormat="false" ht="18" hidden="false" customHeight="true" outlineLevel="0" collapsed="false">
      <c r="A13" s="27" t="s">
        <v>478</v>
      </c>
      <c r="B13" s="20" t="n">
        <v>6</v>
      </c>
      <c r="C13" s="20" t="n">
        <v>6</v>
      </c>
      <c r="D13" s="21" t="n">
        <f aca="false">B13/6</f>
        <v>1</v>
      </c>
      <c r="E13" s="28" t="s">
        <v>553</v>
      </c>
      <c r="F13" s="23" t="s">
        <v>551</v>
      </c>
      <c r="G13" s="24"/>
    </row>
    <row r="14" customFormat="false" ht="18" hidden="false" customHeight="true" outlineLevel="0" collapsed="false">
      <c r="A14" s="27" t="s">
        <v>390</v>
      </c>
      <c r="B14" s="20" t="n">
        <v>3</v>
      </c>
      <c r="C14" s="20" t="n">
        <v>4</v>
      </c>
      <c r="D14" s="21" t="n">
        <f aca="false">B14/4</f>
        <v>0.75</v>
      </c>
      <c r="E14" s="28" t="s">
        <v>553</v>
      </c>
      <c r="F14" s="23" t="s">
        <v>551</v>
      </c>
      <c r="G14" s="24"/>
    </row>
    <row r="15" customFormat="false" ht="18" hidden="false" customHeight="true" outlineLevel="0" collapsed="false">
      <c r="A15" s="29" t="s">
        <v>405</v>
      </c>
      <c r="B15" s="20" t="n">
        <v>7</v>
      </c>
      <c r="C15" s="20" t="n">
        <v>8</v>
      </c>
      <c r="D15" s="21" t="n">
        <f aca="false">B15/8</f>
        <v>0.875</v>
      </c>
      <c r="E15" s="30" t="s">
        <v>554</v>
      </c>
      <c r="F15" s="23" t="s">
        <v>551</v>
      </c>
      <c r="G15" s="24"/>
    </row>
    <row r="16" customFormat="false" ht="18" hidden="false" customHeight="true" outlineLevel="0" collapsed="false">
      <c r="A16" s="29" t="s">
        <v>423</v>
      </c>
      <c r="B16" s="20" t="n">
        <v>4</v>
      </c>
      <c r="C16" s="20" t="n">
        <v>6</v>
      </c>
      <c r="D16" s="21" t="n">
        <f aca="false">B16/6</f>
        <v>0.666666666666667</v>
      </c>
      <c r="E16" s="30" t="s">
        <v>554</v>
      </c>
      <c r="F16" s="23" t="s">
        <v>551</v>
      </c>
      <c r="G16" s="24"/>
    </row>
    <row r="17" customFormat="false" ht="18" hidden="false" customHeight="true" outlineLevel="0" collapsed="false">
      <c r="A17" s="29" t="s">
        <v>432</v>
      </c>
      <c r="B17" s="20" t="n">
        <v>3</v>
      </c>
      <c r="C17" s="20" t="n">
        <v>5</v>
      </c>
      <c r="D17" s="21" t="n">
        <f aca="false">B17/5</f>
        <v>0.6</v>
      </c>
      <c r="E17" s="30" t="s">
        <v>554</v>
      </c>
      <c r="F17" s="23" t="s">
        <v>551</v>
      </c>
      <c r="G17" s="24"/>
    </row>
    <row r="18" customFormat="false" ht="18" hidden="false" customHeight="true" outlineLevel="0" collapsed="false">
      <c r="A18" s="29" t="s">
        <v>384</v>
      </c>
      <c r="B18" s="20" t="n">
        <v>2</v>
      </c>
      <c r="C18" s="20" t="n">
        <v>3</v>
      </c>
      <c r="D18" s="21" t="n">
        <f aca="false">B18/3</f>
        <v>0.666666666666667</v>
      </c>
      <c r="E18" s="30" t="s">
        <v>554</v>
      </c>
      <c r="F18" s="23" t="s">
        <v>551</v>
      </c>
      <c r="G18" s="24"/>
    </row>
    <row r="19" customFormat="false" ht="18" hidden="false" customHeight="true" outlineLevel="0" collapsed="false">
      <c r="A19" s="29" t="s">
        <v>400</v>
      </c>
      <c r="B19" s="20" t="n">
        <v>2</v>
      </c>
      <c r="C19" s="20" t="n">
        <v>3</v>
      </c>
      <c r="D19" s="21" t="n">
        <f aca="false">B19/3</f>
        <v>0.666666666666667</v>
      </c>
      <c r="E19" s="30" t="s">
        <v>554</v>
      </c>
      <c r="F19" s="23" t="s">
        <v>551</v>
      </c>
      <c r="G19" s="24"/>
    </row>
    <row r="20" customFormat="false" ht="18" hidden="false" customHeight="true" outlineLevel="0" collapsed="false">
      <c r="A20" s="29" t="s">
        <v>442</v>
      </c>
      <c r="B20" s="20" t="n">
        <v>1</v>
      </c>
      <c r="C20" s="20" t="n">
        <v>2</v>
      </c>
      <c r="D20" s="21" t="n">
        <f aca="false">B20/2</f>
        <v>0.5</v>
      </c>
      <c r="E20" s="30" t="s">
        <v>554</v>
      </c>
      <c r="F20" s="23" t="s">
        <v>551</v>
      </c>
      <c r="G20" s="24"/>
    </row>
    <row r="21" customFormat="false" ht="18" hidden="false" customHeight="true" outlineLevel="0" collapsed="false">
      <c r="A21" s="31" t="s">
        <v>169</v>
      </c>
      <c r="B21" s="20" t="n">
        <v>8</v>
      </c>
      <c r="C21" s="20" t="n">
        <v>50</v>
      </c>
      <c r="D21" s="21" t="n">
        <f aca="false">B21/50</f>
        <v>0.16</v>
      </c>
      <c r="E21" s="32" t="s">
        <v>555</v>
      </c>
      <c r="F21" s="23" t="s">
        <v>551</v>
      </c>
      <c r="G21" s="24"/>
    </row>
    <row r="22" customFormat="false" ht="18" hidden="false" customHeight="true" outlineLevel="0" collapsed="false">
      <c r="A22" s="31" t="s">
        <v>162</v>
      </c>
      <c r="B22" s="20" t="n">
        <v>3</v>
      </c>
      <c r="C22" s="20" t="n">
        <v>3</v>
      </c>
      <c r="D22" s="21" t="n">
        <f aca="false">B22/3</f>
        <v>1</v>
      </c>
      <c r="E22" s="32" t="s">
        <v>555</v>
      </c>
      <c r="F22" s="23" t="s">
        <v>551</v>
      </c>
      <c r="G22" s="24"/>
    </row>
    <row r="23" customFormat="false" ht="18" hidden="false" customHeight="true" outlineLevel="0" collapsed="false">
      <c r="A23" s="31" t="s">
        <v>186</v>
      </c>
      <c r="B23" s="20" t="n">
        <v>2</v>
      </c>
      <c r="C23" s="20" t="s">
        <v>556</v>
      </c>
      <c r="D23" s="20"/>
      <c r="E23" s="32" t="s">
        <v>555</v>
      </c>
      <c r="F23" s="23" t="s">
        <v>551</v>
      </c>
      <c r="G23" s="24"/>
    </row>
    <row r="24" customFormat="false" ht="18" hidden="false" customHeight="true" outlineLevel="0" collapsed="false">
      <c r="A24" s="31" t="s">
        <v>360</v>
      </c>
      <c r="B24" s="20" t="n">
        <v>2</v>
      </c>
      <c r="C24" s="20" t="s">
        <v>556</v>
      </c>
      <c r="D24" s="20"/>
      <c r="E24" s="32" t="s">
        <v>555</v>
      </c>
      <c r="F24" s="23" t="s">
        <v>551</v>
      </c>
      <c r="G24" s="24"/>
    </row>
    <row r="25" customFormat="false" ht="18" hidden="false" customHeight="true" outlineLevel="0" collapsed="false">
      <c r="A25" s="31" t="s">
        <v>521</v>
      </c>
      <c r="B25" s="20" t="n">
        <v>2</v>
      </c>
      <c r="C25" s="20" t="s">
        <v>556</v>
      </c>
      <c r="D25" s="20"/>
      <c r="E25" s="32" t="s">
        <v>555</v>
      </c>
      <c r="F25" s="23" t="s">
        <v>551</v>
      </c>
      <c r="G25" s="24"/>
    </row>
    <row r="26" customFormat="false" ht="18" hidden="false" customHeight="true" outlineLevel="0" collapsed="false">
      <c r="A26" s="31" t="s">
        <v>526</v>
      </c>
      <c r="B26" s="20" t="n">
        <v>2</v>
      </c>
      <c r="C26" s="20" t="s">
        <v>556</v>
      </c>
      <c r="D26" s="20"/>
      <c r="E26" s="32" t="s">
        <v>555</v>
      </c>
      <c r="F26" s="23" t="s">
        <v>551</v>
      </c>
      <c r="G26" s="24"/>
    </row>
    <row r="27" customFormat="false" ht="18" hidden="false" customHeight="true" outlineLevel="0" collapsed="false">
      <c r="A27" s="31" t="s">
        <v>78</v>
      </c>
      <c r="B27" s="20" t="n">
        <v>1</v>
      </c>
      <c r="C27" s="20" t="s">
        <v>556</v>
      </c>
      <c r="D27" s="20"/>
      <c r="E27" s="32" t="s">
        <v>555</v>
      </c>
      <c r="F27" s="23" t="s">
        <v>551</v>
      </c>
      <c r="G27" s="24"/>
    </row>
    <row r="28" customFormat="false" ht="18" hidden="false" customHeight="true" outlineLevel="0" collapsed="false">
      <c r="A28" s="31" t="s">
        <v>82</v>
      </c>
      <c r="B28" s="20" t="n">
        <v>1</v>
      </c>
      <c r="C28" s="20" t="s">
        <v>556</v>
      </c>
      <c r="D28" s="20"/>
      <c r="E28" s="32" t="s">
        <v>555</v>
      </c>
      <c r="F28" s="23" t="s">
        <v>551</v>
      </c>
      <c r="G28" s="24"/>
    </row>
    <row r="29" customFormat="false" ht="18" hidden="false" customHeight="true" outlineLevel="0" collapsed="false">
      <c r="A29" s="31" t="s">
        <v>357</v>
      </c>
      <c r="B29" s="20" t="n">
        <v>1</v>
      </c>
      <c r="C29" s="20" t="s">
        <v>556</v>
      </c>
      <c r="D29" s="20"/>
      <c r="E29" s="32" t="s">
        <v>555</v>
      </c>
      <c r="F29" s="23" t="s">
        <v>551</v>
      </c>
      <c r="G29" s="24"/>
    </row>
    <row r="30" customFormat="false" ht="18" hidden="false" customHeight="true" outlineLevel="0" collapsed="false">
      <c r="A30" s="31" t="s">
        <v>365</v>
      </c>
      <c r="B30" s="20" t="n">
        <v>1</v>
      </c>
      <c r="C30" s="20" t="s">
        <v>556</v>
      </c>
      <c r="D30" s="20"/>
      <c r="E30" s="32" t="s">
        <v>555</v>
      </c>
      <c r="F30" s="23" t="s">
        <v>551</v>
      </c>
      <c r="G30" s="24"/>
    </row>
    <row r="31" customFormat="false" ht="18" hidden="false" customHeight="true" outlineLevel="0" collapsed="false">
      <c r="A31" s="31" t="s">
        <v>381</v>
      </c>
      <c r="B31" s="20" t="n">
        <v>1</v>
      </c>
      <c r="C31" s="20" t="s">
        <v>556</v>
      </c>
      <c r="D31" s="20"/>
      <c r="E31" s="32" t="s">
        <v>555</v>
      </c>
      <c r="F31" s="23" t="s">
        <v>551</v>
      </c>
      <c r="G31" s="24"/>
    </row>
    <row r="32" customFormat="false" ht="18" hidden="false" customHeight="true" outlineLevel="0" collapsed="false">
      <c r="A32" s="31" t="s">
        <v>397</v>
      </c>
      <c r="B32" s="20" t="n">
        <v>1</v>
      </c>
      <c r="C32" s="20" t="s">
        <v>556</v>
      </c>
      <c r="D32" s="20"/>
      <c r="E32" s="32" t="s">
        <v>555</v>
      </c>
      <c r="F32" s="23" t="s">
        <v>551</v>
      </c>
      <c r="G32" s="24"/>
    </row>
    <row r="33" customFormat="false" ht="18" hidden="false" customHeight="true" outlineLevel="0" collapsed="false">
      <c r="A33" s="31" t="s">
        <v>420</v>
      </c>
      <c r="B33" s="20" t="n">
        <v>1</v>
      </c>
      <c r="C33" s="20" t="s">
        <v>556</v>
      </c>
      <c r="D33" s="20"/>
      <c r="E33" s="32" t="s">
        <v>555</v>
      </c>
      <c r="F33" s="23" t="s">
        <v>551</v>
      </c>
      <c r="G33" s="24"/>
    </row>
    <row r="34" customFormat="false" ht="18" hidden="false" customHeight="true" outlineLevel="0" collapsed="false">
      <c r="A34" s="31" t="s">
        <v>439</v>
      </c>
      <c r="B34" s="20" t="n">
        <v>1</v>
      </c>
      <c r="C34" s="20" t="s">
        <v>556</v>
      </c>
      <c r="D34" s="20"/>
      <c r="E34" s="32" t="s">
        <v>555</v>
      </c>
      <c r="F34" s="23" t="s">
        <v>551</v>
      </c>
      <c r="G34" s="24"/>
    </row>
    <row r="35" customFormat="false" ht="18" hidden="false" customHeight="true" outlineLevel="0" collapsed="false">
      <c r="A35" s="31" t="s">
        <v>445</v>
      </c>
      <c r="B35" s="20" t="n">
        <v>1</v>
      </c>
      <c r="C35" s="20" t="s">
        <v>556</v>
      </c>
      <c r="D35" s="20"/>
      <c r="E35" s="32" t="s">
        <v>555</v>
      </c>
      <c r="F35" s="23" t="s">
        <v>551</v>
      </c>
      <c r="G35" s="24"/>
    </row>
    <row r="36" customFormat="false" ht="18" hidden="false" customHeight="true" outlineLevel="0" collapsed="false">
      <c r="A36" s="31" t="s">
        <v>475</v>
      </c>
      <c r="B36" s="20" t="n">
        <v>1</v>
      </c>
      <c r="C36" s="20" t="s">
        <v>556</v>
      </c>
      <c r="D36" s="20"/>
      <c r="E36" s="32" t="s">
        <v>555</v>
      </c>
      <c r="F36" s="23" t="s">
        <v>551</v>
      </c>
      <c r="G36" s="24"/>
    </row>
    <row r="37" customFormat="false" ht="18" hidden="false" customHeight="true" outlineLevel="0" collapsed="false">
      <c r="A37" s="31" t="s">
        <v>491</v>
      </c>
      <c r="B37" s="20" t="n">
        <v>1</v>
      </c>
      <c r="C37" s="20" t="s">
        <v>556</v>
      </c>
      <c r="D37" s="20"/>
      <c r="E37" s="32" t="s">
        <v>555</v>
      </c>
      <c r="F37" s="23" t="s">
        <v>551</v>
      </c>
      <c r="G37" s="24"/>
    </row>
    <row r="38" customFormat="false" ht="15" hidden="false" customHeight="false" outlineLevel="0" collapsed="false">
      <c r="A38" s="33" t="s">
        <v>557</v>
      </c>
      <c r="B38" s="33" t="n">
        <f aca="false">SUM(B3:B37)</f>
        <v>248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45"/>
    <col collapsed="false" customWidth="true" hidden="false" outlineLevel="0" max="6" min="5" style="0" width="14"/>
  </cols>
  <sheetData>
    <row r="1" customFormat="false" ht="34.5" hidden="false" customHeight="true" outlineLevel="0" collapsed="false">
      <c r="A1" s="1" t="s">
        <v>558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3" t="s">
        <v>559</v>
      </c>
      <c r="B2" s="3" t="s">
        <v>560</v>
      </c>
      <c r="C2" s="3" t="s">
        <v>561</v>
      </c>
      <c r="D2" s="3" t="s">
        <v>562</v>
      </c>
      <c r="E2" s="3" t="s">
        <v>563</v>
      </c>
      <c r="F2" s="3" t="s">
        <v>564</v>
      </c>
    </row>
    <row r="3" customFormat="false" ht="31.5" hidden="false" customHeight="true" outlineLevel="0" collapsed="false">
      <c r="A3" s="34" t="s">
        <v>565</v>
      </c>
      <c r="B3" s="35" t="s">
        <v>566</v>
      </c>
      <c r="C3" s="36" t="n">
        <v>15</v>
      </c>
      <c r="D3" s="35" t="s">
        <v>567</v>
      </c>
      <c r="E3" s="36" t="s">
        <v>568</v>
      </c>
      <c r="F3" s="37" t="s">
        <v>569</v>
      </c>
    </row>
    <row r="4" customFormat="false" ht="31.5" hidden="false" customHeight="true" outlineLevel="0" collapsed="false">
      <c r="A4" s="38" t="s">
        <v>570</v>
      </c>
      <c r="B4" s="39" t="s">
        <v>571</v>
      </c>
      <c r="C4" s="40" t="n">
        <v>14</v>
      </c>
      <c r="D4" s="39" t="s">
        <v>572</v>
      </c>
      <c r="E4" s="40" t="s">
        <v>568</v>
      </c>
      <c r="F4" s="41" t="s">
        <v>569</v>
      </c>
    </row>
    <row r="5" customFormat="false" ht="31.5" hidden="false" customHeight="true" outlineLevel="0" collapsed="false">
      <c r="A5" s="34" t="s">
        <v>573</v>
      </c>
      <c r="B5" s="35" t="s">
        <v>574</v>
      </c>
      <c r="C5" s="36" t="n">
        <v>10</v>
      </c>
      <c r="D5" s="35" t="s">
        <v>575</v>
      </c>
      <c r="E5" s="36" t="s">
        <v>576</v>
      </c>
      <c r="F5" s="37" t="s">
        <v>569</v>
      </c>
    </row>
    <row r="6" customFormat="false" ht="31.5" hidden="false" customHeight="true" outlineLevel="0" collapsed="false">
      <c r="A6" s="38" t="s">
        <v>577</v>
      </c>
      <c r="B6" s="39" t="s">
        <v>578</v>
      </c>
      <c r="C6" s="40" t="n">
        <v>12</v>
      </c>
      <c r="D6" s="39" t="s">
        <v>579</v>
      </c>
      <c r="E6" s="40" t="s">
        <v>576</v>
      </c>
      <c r="F6" s="41" t="s">
        <v>569</v>
      </c>
    </row>
    <row r="7" customFormat="false" ht="31.5" hidden="false" customHeight="true" outlineLevel="0" collapsed="false">
      <c r="A7" s="34" t="s">
        <v>580</v>
      </c>
      <c r="B7" s="35" t="s">
        <v>581</v>
      </c>
      <c r="C7" s="36" t="n">
        <v>14</v>
      </c>
      <c r="D7" s="35" t="s">
        <v>582</v>
      </c>
      <c r="E7" s="36" t="s">
        <v>576</v>
      </c>
      <c r="F7" s="37" t="s">
        <v>569</v>
      </c>
    </row>
    <row r="8" customFormat="false" ht="31.5" hidden="false" customHeight="true" outlineLevel="0" collapsed="false">
      <c r="A8" s="38" t="s">
        <v>583</v>
      </c>
      <c r="B8" s="39" t="s">
        <v>584</v>
      </c>
      <c r="C8" s="40" t="n">
        <v>12</v>
      </c>
      <c r="D8" s="39" t="s">
        <v>585</v>
      </c>
      <c r="E8" s="40" t="s">
        <v>586</v>
      </c>
      <c r="F8" s="41" t="s">
        <v>569</v>
      </c>
    </row>
    <row r="9" customFormat="false" ht="31.5" hidden="false" customHeight="true" outlineLevel="0" collapsed="false">
      <c r="A9" s="34" t="s">
        <v>587</v>
      </c>
      <c r="B9" s="35" t="s">
        <v>588</v>
      </c>
      <c r="C9" s="36" t="n">
        <v>20</v>
      </c>
      <c r="D9" s="37" t="s">
        <v>589</v>
      </c>
      <c r="E9" s="42" t="s">
        <v>590</v>
      </c>
      <c r="F9" s="37" t="s">
        <v>569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2026-04-16T03:57:26Z</dcterms:created>
  <dc:creator>openpyxl</dc:creator>
  <dc:description/>
  <dc:language>en-US</dc:language>
  <cp:lastModifiedBy/>
  <dcterms:modified xsi:type="dcterms:W3CDTF">2026-04-16T03:57:26Z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